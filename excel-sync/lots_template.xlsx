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ts" sheetId="1" state="visible" r:id="rId1"/>
  </sheets>
  <definedNames>
    <definedName name="_xlnm._FilterDatabase" localSheetId="0" hidden="1">'Lots'!$A$1:$R$200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A8A296"/>
    </font>
  </fonts>
  <fills count="7">
    <fill>
      <patternFill/>
    </fill>
    <fill>
      <patternFill patternType="gray125"/>
    </fill>
    <fill>
      <patternFill patternType="solid">
        <fgColor rgb="003F5738"/>
        <bgColor rgb="003F5738"/>
      </patternFill>
    </fill>
    <fill>
      <patternFill patternType="solid">
        <fgColor rgb="00A6512B"/>
        <bgColor rgb="00A6512B"/>
      </patternFill>
    </fill>
    <fill>
      <patternFill patternType="solid">
        <fgColor rgb="008A8478"/>
        <bgColor rgb="008A8478"/>
      </patternFill>
    </fill>
    <fill>
      <patternFill patternType="solid">
        <fgColor rgb="00FAF6ED"/>
        <bgColor rgb="00FAF6ED"/>
      </patternFill>
    </fill>
    <fill>
      <patternFill patternType="solid">
        <fgColor rgb="00B7B0A0"/>
        <bgColor rgb="00B7B0A0"/>
      </patternFill>
    </fill>
  </fills>
  <borders count="2">
    <border>
      <left/>
      <right/>
      <top/>
      <bottom/>
      <diagonal/>
    </border>
    <border>
      <left style="thin">
        <color rgb="00D8CFC0"/>
      </left>
      <right style="thin">
        <color rgb="00D8CFC0"/>
      </right>
      <top style="thin">
        <color rgb="00D8CFC0"/>
      </top>
      <bottom style="thin">
        <color rgb="00D8CFC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6" borderId="1" pivotButton="0" quotePrefix="0" xfId="0"/>
    <xf numFmtId="0" fontId="1" fillId="5" borderId="1" pivotButton="0" quotePrefix="0" xfId="0"/>
    <xf numFmtId="0" fontId="0" fillId="5" borderId="1" pivotButton="0" quotePrefix="0" xfId="0"/>
    <xf numFmtId="164" fontId="3" fillId="6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AF6ED"/>
          <bgColor rgb="00FAF6ED"/>
        </patternFill>
      </fill>
    </dxf>
    <dxf>
      <fill>
        <patternFill patternType="solid">
          <fgColor rgb="00D6F5F2"/>
          <bgColor rgb="00D6F5F2"/>
        </patternFill>
      </fill>
    </dxf>
    <dxf>
      <fill>
        <patternFill patternType="solid">
          <fgColor rgb="00F5E6C8"/>
          <bgColor rgb="00F5E6C8"/>
        </patternFill>
      </fill>
    </dxf>
    <dxf>
      <fill>
        <patternFill patternType="solid">
          <fgColor rgb="00E8E4DC"/>
          <bgColor rgb="00E8E4DC"/>
        </patternFill>
      </fill>
    </dxf>
    <dxf>
      <fill>
        <patternFill patternType="solid">
          <fgColor rgb="00DCE0F0"/>
          <bgColor rgb="00DCE0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Holly Hill</author>
    <author>Holly Hill Surplus</author>
  </authors>
  <commentList>
    <comment ref="G1" authorId="0" shapeId="0">
      <text>
        <t>Private -- stays in this spreadsheet only, never sent to the website.</t>
      </text>
    </comment>
    <comment ref="J1" authorId="1" shapeId="0">
      <text>
        <t>One file path per box (Photo 1, Photo 2, ...). Leave extras blank if you have fewer than 5 photos, e.g. C:\Photos\a.jpg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60"/>
  <cols>
    <col width="18" customWidth="1" min="1" max="1"/>
    <col width="18" customWidth="1" min="2" max="2"/>
    <col width="30" customWidth="1" min="3" max="3"/>
    <col width="40" customWidth="1" min="4" max="4"/>
    <col width="12" customWidth="1" min="5" max="5"/>
    <col width="14" customWidth="1" min="6" max="6"/>
    <col width="16" customWidth="1" min="7" max="7"/>
    <col width="14" customWidth="1" min="8" max="8"/>
    <col width="11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18" customWidth="1" min="15" max="15"/>
    <col width="30" customWidth="1" min="16" max="16"/>
    <col hidden="1" width="60" customWidth="1" min="17" max="17"/>
    <col hidden="1" width="60" customWidth="1" min="18" max="18"/>
    <col width="15" customWidth="1" min="20" max="20"/>
    <col width="8" customWidth="1" min="21" max="21"/>
  </cols>
  <sheetData>
    <row r="1">
      <c r="A1" s="3" t="inlineStr">
        <is>
          <t>Lot # / SKU</t>
        </is>
      </c>
      <c r="B1" s="3" t="inlineStr">
        <is>
          <t>Category</t>
        </is>
      </c>
      <c r="C1" s="3" t="inlineStr">
        <is>
          <t>Item Name</t>
        </is>
      </c>
      <c r="D1" s="3" t="inlineStr">
        <is>
          <t>Description</t>
        </is>
      </c>
      <c r="E1" s="3" t="inlineStr">
        <is>
          <t>Price ($)</t>
        </is>
      </c>
      <c r="F1" s="3" t="inlineStr">
        <is>
          <t>Status</t>
        </is>
      </c>
      <c r="G1" s="11" t="inlineStr">
        <is>
          <t>Original Price ($)</t>
        </is>
      </c>
      <c r="H1" s="11" t="inlineStr">
        <is>
          <t>Profit ($)</t>
        </is>
      </c>
      <c r="I1" s="4" t="inlineStr">
        <is>
          <t>Featured</t>
        </is>
      </c>
      <c r="J1" s="4" t="inlineStr">
        <is>
          <t>Photo 1</t>
        </is>
      </c>
      <c r="K1" s="4" t="inlineStr">
        <is>
          <t>Photo 2</t>
        </is>
      </c>
      <c r="L1" s="4" t="inlineStr">
        <is>
          <t>Photo 3</t>
        </is>
      </c>
      <c r="M1" s="4" t="inlineStr">
        <is>
          <t>Photo 4</t>
        </is>
      </c>
      <c r="N1" s="4" t="inlineStr">
        <is>
          <t>Photo 5</t>
        </is>
      </c>
      <c r="O1" s="5" t="inlineStr">
        <is>
          <t>Last Synced</t>
        </is>
      </c>
      <c r="P1" s="5" t="inlineStr">
        <is>
          <t>Sync Status</t>
        </is>
      </c>
      <c r="Q1" s="6" t="inlineStr">
        <is>
          <t>Last Synced Fingerprint</t>
        </is>
      </c>
      <c r="R1" s="6" t="inlineStr">
        <is>
          <t>Last Synced Photo Paths</t>
        </is>
      </c>
      <c r="T1" s="12" t="inlineStr">
        <is>
          <t>Feature Count:</t>
        </is>
      </c>
      <c r="U1" s="13" t="n">
        <v>5</v>
      </c>
    </row>
    <row r="2">
      <c r="A2" s="7" t="inlineStr">
        <is>
          <t>EXAMPLE — delete this row</t>
        </is>
      </c>
      <c r="B2" s="7" t="inlineStr">
        <is>
          <t>Coins &amp; Currency</t>
        </is>
      </c>
      <c r="C2" s="7" t="inlineStr">
        <is>
          <t>Peace Dollar Lot (38 coins)</t>
        </is>
      </c>
      <c r="D2" s="8" t="inlineStr">
        <is>
          <t>38 common-date silver dollars, cleaned by hand. Melt value checked against spot price before setting the website price -- do not price below melt.</t>
        </is>
      </c>
      <c r="E2" s="7" t="n">
        <v>1325</v>
      </c>
      <c r="F2" s="7" t="inlineStr">
        <is>
          <t>available</t>
        </is>
      </c>
      <c r="G2" s="14" t="n"/>
      <c r="H2" s="14">
        <f>IF(G2="","",E2-G2)</f>
        <v/>
      </c>
      <c r="I2" s="7">
        <f>IF(AND(F2="available",G2&lt;&gt;""),COUNTIFS($F$2:$F$200,"available",$H$2:$H$200,"&gt;"&amp;H2)&lt;$U$1,FALSE)</f>
        <v/>
      </c>
      <c r="J2" s="7" t="inlineStr">
        <is>
          <t>C:\Photos\A1234-a.jpg</t>
        </is>
      </c>
      <c r="K2" s="7" t="inlineStr">
        <is>
          <t>C:\Photos\A1234-b.jpg</t>
        </is>
      </c>
      <c r="L2" s="7" t="n"/>
      <c r="M2" s="7" t="n"/>
      <c r="N2" s="7" t="n"/>
      <c r="O2" s="7" t="n"/>
      <c r="P2" s="7" t="n"/>
      <c r="Q2" s="9" t="n"/>
      <c r="R2" s="9" t="n"/>
    </row>
    <row r="3">
      <c r="A3" s="9" t="n"/>
      <c r="B3" s="9" t="n"/>
      <c r="C3" s="9" t="n"/>
      <c r="D3" s="10" t="n"/>
      <c r="E3" s="9" t="n"/>
      <c r="F3" s="9" t="n"/>
      <c r="G3" s="15" t="n"/>
      <c r="H3" s="15">
        <f>IF(G3="","",E3-G3)</f>
        <v/>
      </c>
      <c r="I3" s="9">
        <f>IF(AND(F3="available",G3&lt;&gt;""),COUNTIFS($F$2:$F$200,"available",$H$2:$H$200,"&gt;"&amp;H3)&lt;$U$1,FALSE)</f>
        <v/>
      </c>
      <c r="J3" s="9" t="n"/>
      <c r="K3" s="9" t="n"/>
      <c r="L3" s="9" t="n"/>
      <c r="M3" s="9" t="n"/>
      <c r="N3" s="9" t="n"/>
      <c r="O3" s="9" t="n"/>
      <c r="P3" s="9" t="n"/>
      <c r="Q3" s="9" t="n"/>
      <c r="R3" s="9" t="n"/>
    </row>
    <row r="4">
      <c r="A4" s="9" t="n"/>
      <c r="B4" s="9" t="n"/>
      <c r="C4" s="9" t="n"/>
      <c r="D4" s="10" t="n"/>
      <c r="E4" s="9" t="n"/>
      <c r="F4" s="9" t="n"/>
      <c r="G4" s="15" t="n"/>
      <c r="H4" s="15">
        <f>IF(G4="","",E4-G4)</f>
        <v/>
      </c>
      <c r="I4" s="9">
        <f>IF(AND(F4="available",G4&lt;&gt;""),COUNTIFS($F$2:$F$200,"available",$H$2:$H$200,"&gt;"&amp;H4)&lt;$U$1,FALSE)</f>
        <v/>
      </c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>
      <c r="A5" s="9" t="n"/>
      <c r="B5" s="9" t="n"/>
      <c r="C5" s="9" t="n"/>
      <c r="D5" s="10" t="n"/>
      <c r="E5" s="9" t="n"/>
      <c r="F5" s="9" t="n"/>
      <c r="G5" s="15" t="n"/>
      <c r="H5" s="15">
        <f>IF(G5="","",E5-G5)</f>
        <v/>
      </c>
      <c r="I5" s="9">
        <f>IF(AND(F5="available",G5&lt;&gt;""),COUNTIFS($F$2:$F$200,"available",$H$2:$H$200,"&gt;"&amp;H5)&lt;$U$1,FALSE)</f>
        <v/>
      </c>
      <c r="J5" s="9" t="n"/>
      <c r="K5" s="9" t="n"/>
      <c r="L5" s="9" t="n"/>
      <c r="M5" s="9" t="n"/>
      <c r="N5" s="9" t="n"/>
      <c r="O5" s="9" t="n"/>
      <c r="P5" s="9" t="n"/>
      <c r="Q5" s="9" t="n"/>
      <c r="R5" s="9" t="n"/>
    </row>
    <row r="6">
      <c r="A6" s="9" t="n"/>
      <c r="B6" s="9" t="n"/>
      <c r="C6" s="9" t="n"/>
      <c r="D6" s="10" t="n"/>
      <c r="E6" s="9" t="n"/>
      <c r="F6" s="9" t="n"/>
      <c r="G6" s="15" t="n"/>
      <c r="H6" s="15">
        <f>IF(G6="","",E6-G6)</f>
        <v/>
      </c>
      <c r="I6" s="9">
        <f>IF(AND(F6="available",G6&lt;&gt;""),COUNTIFS($F$2:$F$200,"available",$H$2:$H$200,"&gt;"&amp;H6)&lt;$U$1,FALSE)</f>
        <v/>
      </c>
      <c r="J6" s="9" t="n"/>
      <c r="K6" s="9" t="n"/>
      <c r="L6" s="9" t="n"/>
      <c r="M6" s="9" t="n"/>
      <c r="N6" s="9" t="n"/>
      <c r="O6" s="9" t="n"/>
      <c r="P6" s="9" t="n"/>
      <c r="Q6" s="9" t="n"/>
      <c r="R6" s="9" t="n"/>
    </row>
    <row r="7">
      <c r="A7" s="9" t="n"/>
      <c r="B7" s="9" t="n"/>
      <c r="C7" s="9" t="n"/>
      <c r="D7" s="10" t="n"/>
      <c r="E7" s="9" t="n"/>
      <c r="F7" s="9" t="n"/>
      <c r="G7" s="15" t="n"/>
      <c r="H7" s="15">
        <f>IF(G7="","",E7-G7)</f>
        <v/>
      </c>
      <c r="I7" s="9">
        <f>IF(AND(F7="available",G7&lt;&gt;""),COUNTIFS($F$2:$F$200,"available",$H$2:$H$200,"&gt;"&amp;H7)&lt;$U$1,FALSE)</f>
        <v/>
      </c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>
      <c r="A8" s="9" t="n"/>
      <c r="B8" s="9" t="n"/>
      <c r="C8" s="9" t="n"/>
      <c r="D8" s="10" t="n"/>
      <c r="E8" s="9" t="n"/>
      <c r="F8" s="9" t="n"/>
      <c r="G8" s="15" t="n"/>
      <c r="H8" s="15">
        <f>IF(G8="","",E8-G8)</f>
        <v/>
      </c>
      <c r="I8" s="9">
        <f>IF(AND(F8="available",G8&lt;&gt;""),COUNTIFS($F$2:$F$200,"available",$H$2:$H$200,"&gt;"&amp;H8)&lt;$U$1,FALSE)</f>
        <v/>
      </c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>
      <c r="A9" s="9" t="n"/>
      <c r="B9" s="9" t="n"/>
      <c r="C9" s="9" t="n"/>
      <c r="D9" s="10" t="n"/>
      <c r="E9" s="9" t="n"/>
      <c r="F9" s="9" t="n"/>
      <c r="G9" s="15" t="n"/>
      <c r="H9" s="15">
        <f>IF(G9="","",E9-G9)</f>
        <v/>
      </c>
      <c r="I9" s="9">
        <f>IF(AND(F9="available",G9&lt;&gt;""),COUNTIFS($F$2:$F$200,"available",$H$2:$H$200,"&gt;"&amp;H9)&lt;$U$1,FALSE)</f>
        <v/>
      </c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>
      <c r="A10" s="9" t="n"/>
      <c r="B10" s="9" t="n"/>
      <c r="C10" s="9" t="n"/>
      <c r="D10" s="10" t="n"/>
      <c r="E10" s="9" t="n"/>
      <c r="F10" s="9" t="n"/>
      <c r="G10" s="15" t="n"/>
      <c r="H10" s="15">
        <f>IF(G10="","",E10-G10)</f>
        <v/>
      </c>
      <c r="I10" s="9">
        <f>IF(AND(F10="available",G10&lt;&gt;""),COUNTIFS($F$2:$F$200,"available",$H$2:$H$200,"&gt;"&amp;H10)&lt;$U$1,FALSE)</f>
        <v/>
      </c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</row>
    <row r="11">
      <c r="A11" s="9" t="n"/>
      <c r="B11" s="9" t="n"/>
      <c r="C11" s="9" t="n"/>
      <c r="D11" s="10" t="n"/>
      <c r="E11" s="9" t="n"/>
      <c r="F11" s="9" t="n"/>
      <c r="G11" s="15" t="n"/>
      <c r="H11" s="15">
        <f>IF(G11="","",E11-G11)</f>
        <v/>
      </c>
      <c r="I11" s="9">
        <f>IF(AND(F11="available",G11&lt;&gt;""),COUNTIFS($F$2:$F$200,"available",$H$2:$H$200,"&gt;"&amp;H11)&lt;$U$1,FALSE)</f>
        <v/>
      </c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>
      <c r="A12" s="9" t="n"/>
      <c r="B12" s="9" t="n"/>
      <c r="C12" s="9" t="n"/>
      <c r="D12" s="10" t="n"/>
      <c r="E12" s="9" t="n"/>
      <c r="F12" s="9" t="n"/>
      <c r="G12" s="15" t="n"/>
      <c r="H12" s="15">
        <f>IF(G12="","",E12-G12)</f>
        <v/>
      </c>
      <c r="I12" s="9">
        <f>IF(AND(F12="available",G12&lt;&gt;""),COUNTIFS($F$2:$F$200,"available",$H$2:$H$200,"&gt;"&amp;H12)&lt;$U$1,FALSE)</f>
        <v/>
      </c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</row>
    <row r="13">
      <c r="A13" s="9" t="n"/>
      <c r="B13" s="9" t="n"/>
      <c r="C13" s="9" t="n"/>
      <c r="D13" s="10" t="n"/>
      <c r="E13" s="9" t="n"/>
      <c r="F13" s="9" t="n"/>
      <c r="G13" s="15" t="n"/>
      <c r="H13" s="15">
        <f>IF(G13="","",E13-G13)</f>
        <v/>
      </c>
      <c r="I13" s="9">
        <f>IF(AND(F13="available",G13&lt;&gt;""),COUNTIFS($F$2:$F$200,"available",$H$2:$H$200,"&gt;"&amp;H13)&lt;$U$1,FALSE)</f>
        <v/>
      </c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>
      <c r="A14" s="9" t="n"/>
      <c r="B14" s="9" t="n"/>
      <c r="C14" s="9" t="n"/>
      <c r="D14" s="10" t="n"/>
      <c r="E14" s="9" t="n"/>
      <c r="F14" s="9" t="n"/>
      <c r="G14" s="15" t="n"/>
      <c r="H14" s="15">
        <f>IF(G14="","",E14-G14)</f>
        <v/>
      </c>
      <c r="I14" s="9">
        <f>IF(AND(F14="available",G14&lt;&gt;""),COUNTIFS($F$2:$F$200,"available",$H$2:$H$200,"&gt;"&amp;H14)&lt;$U$1,FALSE)</f>
        <v/>
      </c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</row>
    <row r="15">
      <c r="A15" s="9" t="n"/>
      <c r="B15" s="9" t="n"/>
      <c r="C15" s="9" t="n"/>
      <c r="D15" s="10" t="n"/>
      <c r="E15" s="9" t="n"/>
      <c r="F15" s="9" t="n"/>
      <c r="G15" s="15" t="n"/>
      <c r="H15" s="15">
        <f>IF(G15="","",E15-G15)</f>
        <v/>
      </c>
      <c r="I15" s="9">
        <f>IF(AND(F15="available",G15&lt;&gt;""),COUNTIFS($F$2:$F$200,"available",$H$2:$H$200,"&gt;"&amp;H15)&lt;$U$1,FALSE)</f>
        <v/>
      </c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>
      <c r="A16" s="9" t="n"/>
      <c r="B16" s="9" t="n"/>
      <c r="C16" s="9" t="n"/>
      <c r="D16" s="10" t="n"/>
      <c r="E16" s="9" t="n"/>
      <c r="F16" s="9" t="n"/>
      <c r="G16" s="15" t="n"/>
      <c r="H16" s="15">
        <f>IF(G16="","",E16-G16)</f>
        <v/>
      </c>
      <c r="I16" s="9">
        <f>IF(AND(F16="available",G16&lt;&gt;""),COUNTIFS($F$2:$F$200,"available",$H$2:$H$200,"&gt;"&amp;H16)&lt;$U$1,FALSE)</f>
        <v/>
      </c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</row>
    <row r="17">
      <c r="A17" s="9" t="n"/>
      <c r="B17" s="9" t="n"/>
      <c r="C17" s="9" t="n"/>
      <c r="D17" s="10" t="n"/>
      <c r="E17" s="9" t="n"/>
      <c r="F17" s="9" t="n"/>
      <c r="G17" s="15" t="n"/>
      <c r="H17" s="15">
        <f>IF(G17="","",E17-G17)</f>
        <v/>
      </c>
      <c r="I17" s="9">
        <f>IF(AND(F17="available",G17&lt;&gt;""),COUNTIFS($F$2:$F$200,"available",$H$2:$H$200,"&gt;"&amp;H17)&lt;$U$1,FALSE)</f>
        <v/>
      </c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>
      <c r="A18" s="9" t="n"/>
      <c r="B18" s="9" t="n"/>
      <c r="C18" s="9" t="n"/>
      <c r="D18" s="10" t="n"/>
      <c r="E18" s="9" t="n"/>
      <c r="F18" s="9" t="n"/>
      <c r="G18" s="15" t="n"/>
      <c r="H18" s="15">
        <f>IF(G18="","",E18-G18)</f>
        <v/>
      </c>
      <c r="I18" s="9">
        <f>IF(AND(F18="available",G18&lt;&gt;""),COUNTIFS($F$2:$F$200,"available",$H$2:$H$200,"&gt;"&amp;H18)&lt;$U$1,FALSE)</f>
        <v/>
      </c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</row>
    <row r="19">
      <c r="A19" s="9" t="n"/>
      <c r="B19" s="9" t="n"/>
      <c r="C19" s="9" t="n"/>
      <c r="D19" s="10" t="n"/>
      <c r="E19" s="9" t="n"/>
      <c r="F19" s="9" t="n"/>
      <c r="G19" s="15" t="n"/>
      <c r="H19" s="15">
        <f>IF(G19="","",E19-G19)</f>
        <v/>
      </c>
      <c r="I19" s="9">
        <f>IF(AND(F19="available",G19&lt;&gt;""),COUNTIFS($F$2:$F$200,"available",$H$2:$H$200,"&gt;"&amp;H19)&lt;$U$1,FALSE)</f>
        <v/>
      </c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>
      <c r="A20" s="9" t="n"/>
      <c r="B20" s="9" t="n"/>
      <c r="C20" s="9" t="n"/>
      <c r="D20" s="10" t="n"/>
      <c r="E20" s="9" t="n"/>
      <c r="F20" s="9" t="n"/>
      <c r="G20" s="15" t="n"/>
      <c r="H20" s="15">
        <f>IF(G20="","",E20-G20)</f>
        <v/>
      </c>
      <c r="I20" s="9">
        <f>IF(AND(F20="available",G20&lt;&gt;""),COUNTIFS($F$2:$F$200,"available",$H$2:$H$200,"&gt;"&amp;H20)&lt;$U$1,FALSE)</f>
        <v/>
      </c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</row>
    <row r="21">
      <c r="A21" s="9" t="n"/>
      <c r="B21" s="9" t="n"/>
      <c r="C21" s="9" t="n"/>
      <c r="D21" s="10" t="n"/>
      <c r="E21" s="9" t="n"/>
      <c r="F21" s="9" t="n"/>
      <c r="G21" s="15" t="n"/>
      <c r="H21" s="15">
        <f>IF(G21="","",E21-G21)</f>
        <v/>
      </c>
      <c r="I21" s="9">
        <f>IF(AND(F21="available",G21&lt;&gt;""),COUNTIFS($F$2:$F$200,"available",$H$2:$H$200,"&gt;"&amp;H21)&lt;$U$1,FALSE)</f>
        <v/>
      </c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>
      <c r="A22" s="9" t="n"/>
      <c r="B22" s="9" t="n"/>
      <c r="C22" s="9" t="n"/>
      <c r="D22" s="10" t="n"/>
      <c r="E22" s="9" t="n"/>
      <c r="F22" s="9" t="n"/>
      <c r="G22" s="15" t="n"/>
      <c r="H22" s="15">
        <f>IF(G22="","",E22-G22)</f>
        <v/>
      </c>
      <c r="I22" s="9">
        <f>IF(AND(F22="available",G22&lt;&gt;""),COUNTIFS($F$2:$F$200,"available",$H$2:$H$200,"&gt;"&amp;H22)&lt;$U$1,FALSE)</f>
        <v/>
      </c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</row>
    <row r="23">
      <c r="A23" s="9" t="n"/>
      <c r="B23" s="9" t="n"/>
      <c r="C23" s="9" t="n"/>
      <c r="D23" s="10" t="n"/>
      <c r="E23" s="9" t="n"/>
      <c r="F23" s="9" t="n"/>
      <c r="G23" s="15" t="n"/>
      <c r="H23" s="15">
        <f>IF(G23="","",E23-G23)</f>
        <v/>
      </c>
      <c r="I23" s="9">
        <f>IF(AND(F23="available",G23&lt;&gt;""),COUNTIFS($F$2:$F$200,"available",$H$2:$H$200,"&gt;"&amp;H23)&lt;$U$1,FALSE)</f>
        <v/>
      </c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>
      <c r="A24" s="9" t="n"/>
      <c r="B24" s="9" t="n"/>
      <c r="C24" s="9" t="n"/>
      <c r="D24" s="10" t="n"/>
      <c r="E24" s="9" t="n"/>
      <c r="F24" s="9" t="n"/>
      <c r="G24" s="15" t="n"/>
      <c r="H24" s="15">
        <f>IF(G24="","",E24-G24)</f>
        <v/>
      </c>
      <c r="I24" s="9">
        <f>IF(AND(F24="available",G24&lt;&gt;""),COUNTIFS($F$2:$F$200,"available",$H$2:$H$200,"&gt;"&amp;H24)&lt;$U$1,FALSE)</f>
        <v/>
      </c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</row>
    <row r="25">
      <c r="A25" s="9" t="n"/>
      <c r="B25" s="9" t="n"/>
      <c r="C25" s="9" t="n"/>
      <c r="D25" s="10" t="n"/>
      <c r="E25" s="9" t="n"/>
      <c r="F25" s="9" t="n"/>
      <c r="G25" s="15" t="n"/>
      <c r="H25" s="15">
        <f>IF(G25="","",E25-G25)</f>
        <v/>
      </c>
      <c r="I25" s="9">
        <f>IF(AND(F25="available",G25&lt;&gt;""),COUNTIFS($F$2:$F$200,"available",$H$2:$H$200,"&gt;"&amp;H25)&lt;$U$1,FALSE)</f>
        <v/>
      </c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>
      <c r="A26" s="9" t="n"/>
      <c r="B26" s="9" t="n"/>
      <c r="C26" s="9" t="n"/>
      <c r="D26" s="10" t="n"/>
      <c r="E26" s="9" t="n"/>
      <c r="F26" s="9" t="n"/>
      <c r="G26" s="15" t="n"/>
      <c r="H26" s="15">
        <f>IF(G26="","",E26-G26)</f>
        <v/>
      </c>
      <c r="I26" s="9">
        <f>IF(AND(F26="available",G26&lt;&gt;""),COUNTIFS($F$2:$F$200,"available",$H$2:$H$200,"&gt;"&amp;H26)&lt;$U$1,FALSE)</f>
        <v/>
      </c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</row>
    <row r="27">
      <c r="A27" s="9" t="n"/>
      <c r="B27" s="9" t="n"/>
      <c r="C27" s="9" t="n"/>
      <c r="D27" s="10" t="n"/>
      <c r="E27" s="9" t="n"/>
      <c r="F27" s="9" t="n"/>
      <c r="G27" s="15" t="n"/>
      <c r="H27" s="15">
        <f>IF(G27="","",E27-G27)</f>
        <v/>
      </c>
      <c r="I27" s="9">
        <f>IF(AND(F27="available",G27&lt;&gt;""),COUNTIFS($F$2:$F$200,"available",$H$2:$H$200,"&gt;"&amp;H27)&lt;$U$1,FALSE)</f>
        <v/>
      </c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>
      <c r="A28" s="9" t="n"/>
      <c r="B28" s="9" t="n"/>
      <c r="C28" s="9" t="n"/>
      <c r="D28" s="10" t="n"/>
      <c r="E28" s="9" t="n"/>
      <c r="F28" s="9" t="n"/>
      <c r="G28" s="15" t="n"/>
      <c r="H28" s="15">
        <f>IF(G28="","",E28-G28)</f>
        <v/>
      </c>
      <c r="I28" s="9">
        <f>IF(AND(F28="available",G28&lt;&gt;""),COUNTIFS($F$2:$F$200,"available",$H$2:$H$200,"&gt;"&amp;H28)&lt;$U$1,FALSE)</f>
        <v/>
      </c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</row>
    <row r="29">
      <c r="A29" s="9" t="n"/>
      <c r="B29" s="9" t="n"/>
      <c r="C29" s="9" t="n"/>
      <c r="D29" s="10" t="n"/>
      <c r="E29" s="9" t="n"/>
      <c r="F29" s="9" t="n"/>
      <c r="G29" s="15" t="n"/>
      <c r="H29" s="15">
        <f>IF(G29="","",E29-G29)</f>
        <v/>
      </c>
      <c r="I29" s="9">
        <f>IF(AND(F29="available",G29&lt;&gt;""),COUNTIFS($F$2:$F$200,"available",$H$2:$H$200,"&gt;"&amp;H29)&lt;$U$1,FALSE)</f>
        <v/>
      </c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>
      <c r="A30" s="9" t="n"/>
      <c r="B30" s="9" t="n"/>
      <c r="C30" s="9" t="n"/>
      <c r="D30" s="10" t="n"/>
      <c r="E30" s="9" t="n"/>
      <c r="F30" s="9" t="n"/>
      <c r="G30" s="15" t="n"/>
      <c r="H30" s="15">
        <f>IF(G30="","",E30-G30)</f>
        <v/>
      </c>
      <c r="I30" s="9">
        <f>IF(AND(F30="available",G30&lt;&gt;""),COUNTIFS($F$2:$F$200,"available",$H$2:$H$200,"&gt;"&amp;H30)&lt;$U$1,FALSE)</f>
        <v/>
      </c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</row>
    <row r="31">
      <c r="A31" s="9" t="n"/>
      <c r="B31" s="9" t="n"/>
      <c r="C31" s="9" t="n"/>
      <c r="D31" s="10" t="n"/>
      <c r="E31" s="9" t="n"/>
      <c r="F31" s="9" t="n"/>
      <c r="G31" s="15" t="n"/>
      <c r="H31" s="15">
        <f>IF(G31="","",E31-G31)</f>
        <v/>
      </c>
      <c r="I31" s="9">
        <f>IF(AND(F31="available",G31&lt;&gt;""),COUNTIFS($F$2:$F$200,"available",$H$2:$H$200,"&gt;"&amp;H31)&lt;$U$1,FALSE)</f>
        <v/>
      </c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>
      <c r="A32" s="9" t="n"/>
      <c r="B32" s="9" t="n"/>
      <c r="C32" s="9" t="n"/>
      <c r="D32" s="10" t="n"/>
      <c r="E32" s="9" t="n"/>
      <c r="F32" s="9" t="n"/>
      <c r="G32" s="15" t="n"/>
      <c r="H32" s="15">
        <f>IF(G32="","",E32-G32)</f>
        <v/>
      </c>
      <c r="I32" s="9">
        <f>IF(AND(F32="available",G32&lt;&gt;""),COUNTIFS($F$2:$F$200,"available",$H$2:$H$200,"&gt;"&amp;H32)&lt;$U$1,FALSE)</f>
        <v/>
      </c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</row>
    <row r="33">
      <c r="A33" s="9" t="n"/>
      <c r="B33" s="9" t="n"/>
      <c r="C33" s="9" t="n"/>
      <c r="D33" s="10" t="n"/>
      <c r="E33" s="9" t="n"/>
      <c r="F33" s="9" t="n"/>
      <c r="G33" s="15" t="n"/>
      <c r="H33" s="15">
        <f>IF(G33="","",E33-G33)</f>
        <v/>
      </c>
      <c r="I33" s="9">
        <f>IF(AND(F33="available",G33&lt;&gt;""),COUNTIFS($F$2:$F$200,"available",$H$2:$H$200,"&gt;"&amp;H33)&lt;$U$1,FALSE)</f>
        <v/>
      </c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>
      <c r="A34" s="9" t="n"/>
      <c r="B34" s="9" t="n"/>
      <c r="C34" s="9" t="n"/>
      <c r="D34" s="10" t="n"/>
      <c r="E34" s="9" t="n"/>
      <c r="F34" s="9" t="n"/>
      <c r="G34" s="15" t="n"/>
      <c r="H34" s="15">
        <f>IF(G34="","",E34-G34)</f>
        <v/>
      </c>
      <c r="I34" s="9">
        <f>IF(AND(F34="available",G34&lt;&gt;""),COUNTIFS($F$2:$F$200,"available",$H$2:$H$200,"&gt;"&amp;H34)&lt;$U$1,FALSE)</f>
        <v/>
      </c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</row>
    <row r="35">
      <c r="A35" s="9" t="n"/>
      <c r="B35" s="9" t="n"/>
      <c r="C35" s="9" t="n"/>
      <c r="D35" s="10" t="n"/>
      <c r="E35" s="9" t="n"/>
      <c r="F35" s="9" t="n"/>
      <c r="G35" s="15" t="n"/>
      <c r="H35" s="15">
        <f>IF(G35="","",E35-G35)</f>
        <v/>
      </c>
      <c r="I35" s="9">
        <f>IF(AND(F35="available",G35&lt;&gt;""),COUNTIFS($F$2:$F$200,"available",$H$2:$H$200,"&gt;"&amp;H35)&lt;$U$1,FALSE)</f>
        <v/>
      </c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</row>
    <row r="36">
      <c r="A36" s="9" t="n"/>
      <c r="B36" s="9" t="n"/>
      <c r="C36" s="9" t="n"/>
      <c r="D36" s="10" t="n"/>
      <c r="E36" s="9" t="n"/>
      <c r="F36" s="9" t="n"/>
      <c r="G36" s="15" t="n"/>
      <c r="H36" s="15">
        <f>IF(G36="","",E36-G36)</f>
        <v/>
      </c>
      <c r="I36" s="9">
        <f>IF(AND(F36="available",G36&lt;&gt;""),COUNTIFS($F$2:$F$200,"available",$H$2:$H$200,"&gt;"&amp;H36)&lt;$U$1,FALSE)</f>
        <v/>
      </c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</row>
    <row r="37">
      <c r="A37" s="9" t="n"/>
      <c r="B37" s="9" t="n"/>
      <c r="C37" s="9" t="n"/>
      <c r="D37" s="10" t="n"/>
      <c r="E37" s="9" t="n"/>
      <c r="F37" s="9" t="n"/>
      <c r="G37" s="15" t="n"/>
      <c r="H37" s="15">
        <f>IF(G37="","",E37-G37)</f>
        <v/>
      </c>
      <c r="I37" s="9">
        <f>IF(AND(F37="available",G37&lt;&gt;""),COUNTIFS($F$2:$F$200,"available",$H$2:$H$200,"&gt;"&amp;H37)&lt;$U$1,FALSE)</f>
        <v/>
      </c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</row>
    <row r="38">
      <c r="A38" s="9" t="n"/>
      <c r="B38" s="9" t="n"/>
      <c r="C38" s="9" t="n"/>
      <c r="D38" s="10" t="n"/>
      <c r="E38" s="9" t="n"/>
      <c r="F38" s="9" t="n"/>
      <c r="G38" s="15" t="n"/>
      <c r="H38" s="15">
        <f>IF(G38="","",E38-G38)</f>
        <v/>
      </c>
      <c r="I38" s="9">
        <f>IF(AND(F38="available",G38&lt;&gt;""),COUNTIFS($F$2:$F$200,"available",$H$2:$H$200,"&gt;"&amp;H38)&lt;$U$1,FALSE)</f>
        <v/>
      </c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</row>
    <row r="39">
      <c r="A39" s="9" t="n"/>
      <c r="B39" s="9" t="n"/>
      <c r="C39" s="9" t="n"/>
      <c r="D39" s="10" t="n"/>
      <c r="E39" s="9" t="n"/>
      <c r="F39" s="9" t="n"/>
      <c r="G39" s="15" t="n"/>
      <c r="H39" s="15">
        <f>IF(G39="","",E39-G39)</f>
        <v/>
      </c>
      <c r="I39" s="9">
        <f>IF(AND(F39="available",G39&lt;&gt;""),COUNTIFS($F$2:$F$200,"available",$H$2:$H$200,"&gt;"&amp;H39)&lt;$U$1,FALSE)</f>
        <v/>
      </c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</row>
    <row r="40">
      <c r="A40" s="9" t="n"/>
      <c r="B40" s="9" t="n"/>
      <c r="C40" s="9" t="n"/>
      <c r="D40" s="10" t="n"/>
      <c r="E40" s="9" t="n"/>
      <c r="F40" s="9" t="n"/>
      <c r="G40" s="15" t="n"/>
      <c r="H40" s="15">
        <f>IF(G40="","",E40-G40)</f>
        <v/>
      </c>
      <c r="I40" s="9">
        <f>IF(AND(F40="available",G40&lt;&gt;""),COUNTIFS($F$2:$F$200,"available",$H$2:$H$200,"&gt;"&amp;H40)&lt;$U$1,FALSE)</f>
        <v/>
      </c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</row>
    <row r="41">
      <c r="A41" s="9" t="n"/>
      <c r="B41" s="9" t="n"/>
      <c r="C41" s="9" t="n"/>
      <c r="D41" s="10" t="n"/>
      <c r="E41" s="9" t="n"/>
      <c r="F41" s="9" t="n"/>
      <c r="G41" s="15" t="n"/>
      <c r="H41" s="15">
        <f>IF(G41="","",E41-G41)</f>
        <v/>
      </c>
      <c r="I41" s="9">
        <f>IF(AND(F41="available",G41&lt;&gt;""),COUNTIFS($F$2:$F$200,"available",$H$2:$H$200,"&gt;"&amp;H41)&lt;$U$1,FALSE)</f>
        <v/>
      </c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</row>
    <row r="42">
      <c r="A42" s="9" t="n"/>
      <c r="B42" s="9" t="n"/>
      <c r="C42" s="9" t="n"/>
      <c r="D42" s="10" t="n"/>
      <c r="E42" s="9" t="n"/>
      <c r="F42" s="9" t="n"/>
      <c r="G42" s="15" t="n"/>
      <c r="H42" s="15">
        <f>IF(G42="","",E42-G42)</f>
        <v/>
      </c>
      <c r="I42" s="9">
        <f>IF(AND(F42="available",G42&lt;&gt;""),COUNTIFS($F$2:$F$200,"available",$H$2:$H$200,"&gt;"&amp;H42)&lt;$U$1,FALSE)</f>
        <v/>
      </c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</row>
    <row r="43">
      <c r="A43" s="9" t="n"/>
      <c r="B43" s="9" t="n"/>
      <c r="C43" s="9" t="n"/>
      <c r="D43" s="10" t="n"/>
      <c r="E43" s="9" t="n"/>
      <c r="F43" s="9" t="n"/>
      <c r="G43" s="15" t="n"/>
      <c r="H43" s="15">
        <f>IF(G43="","",E43-G43)</f>
        <v/>
      </c>
      <c r="I43" s="9">
        <f>IF(AND(F43="available",G43&lt;&gt;""),COUNTIFS($F$2:$F$200,"available",$H$2:$H$200,"&gt;"&amp;H43)&lt;$U$1,FALSE)</f>
        <v/>
      </c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</row>
    <row r="44">
      <c r="A44" s="9" t="n"/>
      <c r="B44" s="9" t="n"/>
      <c r="C44" s="9" t="n"/>
      <c r="D44" s="10" t="n"/>
      <c r="E44" s="9" t="n"/>
      <c r="F44" s="9" t="n"/>
      <c r="G44" s="15" t="n"/>
      <c r="H44" s="15">
        <f>IF(G44="","",E44-G44)</f>
        <v/>
      </c>
      <c r="I44" s="9">
        <f>IF(AND(F44="available",G44&lt;&gt;""),COUNTIFS($F$2:$F$200,"available",$H$2:$H$200,"&gt;"&amp;H44)&lt;$U$1,FALSE)</f>
        <v/>
      </c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</row>
    <row r="45">
      <c r="A45" s="9" t="n"/>
      <c r="B45" s="9" t="n"/>
      <c r="C45" s="9" t="n"/>
      <c r="D45" s="10" t="n"/>
      <c r="E45" s="9" t="n"/>
      <c r="F45" s="9" t="n"/>
      <c r="G45" s="15" t="n"/>
      <c r="H45" s="15">
        <f>IF(G45="","",E45-G45)</f>
        <v/>
      </c>
      <c r="I45" s="9">
        <f>IF(AND(F45="available",G45&lt;&gt;""),COUNTIFS($F$2:$F$200,"available",$H$2:$H$200,"&gt;"&amp;H45)&lt;$U$1,FALSE)</f>
        <v/>
      </c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</row>
    <row r="46">
      <c r="A46" s="9" t="n"/>
      <c r="B46" s="9" t="n"/>
      <c r="C46" s="9" t="n"/>
      <c r="D46" s="10" t="n"/>
      <c r="E46" s="9" t="n"/>
      <c r="F46" s="9" t="n"/>
      <c r="G46" s="15" t="n"/>
      <c r="H46" s="15">
        <f>IF(G46="","",E46-G46)</f>
        <v/>
      </c>
      <c r="I46" s="9">
        <f>IF(AND(F46="available",G46&lt;&gt;""),COUNTIFS($F$2:$F$200,"available",$H$2:$H$200,"&gt;"&amp;H46)&lt;$U$1,FALSE)</f>
        <v/>
      </c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</row>
    <row r="47">
      <c r="A47" s="9" t="n"/>
      <c r="B47" s="9" t="n"/>
      <c r="C47" s="9" t="n"/>
      <c r="D47" s="10" t="n"/>
      <c r="E47" s="9" t="n"/>
      <c r="F47" s="9" t="n"/>
      <c r="G47" s="15" t="n"/>
      <c r="H47" s="15">
        <f>IF(G47="","",E47-G47)</f>
        <v/>
      </c>
      <c r="I47" s="9">
        <f>IF(AND(F47="available",G47&lt;&gt;""),COUNTIFS($F$2:$F$200,"available",$H$2:$H$200,"&gt;"&amp;H47)&lt;$U$1,FALSE)</f>
        <v/>
      </c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</row>
    <row r="48">
      <c r="A48" s="9" t="n"/>
      <c r="B48" s="9" t="n"/>
      <c r="C48" s="9" t="n"/>
      <c r="D48" s="10" t="n"/>
      <c r="E48" s="9" t="n"/>
      <c r="F48" s="9" t="n"/>
      <c r="G48" s="15" t="n"/>
      <c r="H48" s="15">
        <f>IF(G48="","",E48-G48)</f>
        <v/>
      </c>
      <c r="I48" s="9">
        <f>IF(AND(F48="available",G48&lt;&gt;""),COUNTIFS($F$2:$F$200,"available",$H$2:$H$200,"&gt;"&amp;H48)&lt;$U$1,FALSE)</f>
        <v/>
      </c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</row>
    <row r="49">
      <c r="A49" s="9" t="n"/>
      <c r="B49" s="9" t="n"/>
      <c r="C49" s="9" t="n"/>
      <c r="D49" s="10" t="n"/>
      <c r="E49" s="9" t="n"/>
      <c r="F49" s="9" t="n"/>
      <c r="G49" s="15" t="n"/>
      <c r="H49" s="15">
        <f>IF(G49="","",E49-G49)</f>
        <v/>
      </c>
      <c r="I49" s="9">
        <f>IF(AND(F49="available",G49&lt;&gt;""),COUNTIFS($F$2:$F$200,"available",$H$2:$H$200,"&gt;"&amp;H49)&lt;$U$1,FALSE)</f>
        <v/>
      </c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</row>
    <row r="50">
      <c r="A50" s="9" t="n"/>
      <c r="B50" s="9" t="n"/>
      <c r="C50" s="9" t="n"/>
      <c r="D50" s="10" t="n"/>
      <c r="E50" s="9" t="n"/>
      <c r="F50" s="9" t="n"/>
      <c r="G50" s="15" t="n"/>
      <c r="H50" s="15">
        <f>IF(G50="","",E50-G50)</f>
        <v/>
      </c>
      <c r="I50" s="9">
        <f>IF(AND(F50="available",G50&lt;&gt;""),COUNTIFS($F$2:$F$200,"available",$H$2:$H$200,"&gt;"&amp;H50)&lt;$U$1,FALSE)</f>
        <v/>
      </c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</row>
    <row r="51">
      <c r="A51" s="9" t="n"/>
      <c r="B51" s="9" t="n"/>
      <c r="C51" s="9" t="n"/>
      <c r="D51" s="10" t="n"/>
      <c r="E51" s="9" t="n"/>
      <c r="F51" s="9" t="n"/>
      <c r="G51" s="15" t="n"/>
      <c r="H51" s="15">
        <f>IF(G51="","",E51-G51)</f>
        <v/>
      </c>
      <c r="I51" s="9">
        <f>IF(AND(F51="available",G51&lt;&gt;""),COUNTIFS($F$2:$F$200,"available",$H$2:$H$200,"&gt;"&amp;H51)&lt;$U$1,FALSE)</f>
        <v/>
      </c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</row>
    <row r="52">
      <c r="A52" s="9" t="n"/>
      <c r="B52" s="9" t="n"/>
      <c r="C52" s="9" t="n"/>
      <c r="D52" s="10" t="n"/>
      <c r="E52" s="9" t="n"/>
      <c r="F52" s="9" t="n"/>
      <c r="G52" s="15" t="n"/>
      <c r="H52" s="15">
        <f>IF(G52="","",E52-G52)</f>
        <v/>
      </c>
      <c r="I52" s="9">
        <f>IF(AND(F52="available",G52&lt;&gt;""),COUNTIFS($F$2:$F$200,"available",$H$2:$H$200,"&gt;"&amp;H52)&lt;$U$1,FALSE)</f>
        <v/>
      </c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</row>
    <row r="53">
      <c r="A53" s="9" t="n"/>
      <c r="B53" s="9" t="n"/>
      <c r="C53" s="9" t="n"/>
      <c r="D53" s="10" t="n"/>
      <c r="E53" s="9" t="n"/>
      <c r="F53" s="9" t="n"/>
      <c r="G53" s="15" t="n"/>
      <c r="H53" s="15">
        <f>IF(G53="","",E53-G53)</f>
        <v/>
      </c>
      <c r="I53" s="9">
        <f>IF(AND(F53="available",G53&lt;&gt;""),COUNTIFS($F$2:$F$200,"available",$H$2:$H$200,"&gt;"&amp;H53)&lt;$U$1,FALSE)</f>
        <v/>
      </c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>
      <c r="A54" s="9" t="n"/>
      <c r="B54" s="9" t="n"/>
      <c r="C54" s="9" t="n"/>
      <c r="D54" s="10" t="n"/>
      <c r="E54" s="9" t="n"/>
      <c r="F54" s="9" t="n"/>
      <c r="G54" s="15" t="n"/>
      <c r="H54" s="15">
        <f>IF(G54="","",E54-G54)</f>
        <v/>
      </c>
      <c r="I54" s="9">
        <f>IF(AND(F54="available",G54&lt;&gt;""),COUNTIFS($F$2:$F$200,"available",$H$2:$H$200,"&gt;"&amp;H54)&lt;$U$1,FALSE)</f>
        <v/>
      </c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</row>
    <row r="55">
      <c r="A55" s="9" t="n"/>
      <c r="B55" s="9" t="n"/>
      <c r="C55" s="9" t="n"/>
      <c r="D55" s="10" t="n"/>
      <c r="E55" s="9" t="n"/>
      <c r="F55" s="9" t="n"/>
      <c r="G55" s="15" t="n"/>
      <c r="H55" s="15">
        <f>IF(G55="","",E55-G55)</f>
        <v/>
      </c>
      <c r="I55" s="9">
        <f>IF(AND(F55="available",G55&lt;&gt;""),COUNTIFS($F$2:$F$200,"available",$H$2:$H$200,"&gt;"&amp;H55)&lt;$U$1,FALSE)</f>
        <v/>
      </c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</row>
    <row r="56">
      <c r="A56" s="9" t="n"/>
      <c r="B56" s="9" t="n"/>
      <c r="C56" s="9" t="n"/>
      <c r="D56" s="10" t="n"/>
      <c r="E56" s="9" t="n"/>
      <c r="F56" s="9" t="n"/>
      <c r="G56" s="15" t="n"/>
      <c r="H56" s="15">
        <f>IF(G56="","",E56-G56)</f>
        <v/>
      </c>
      <c r="I56" s="9">
        <f>IF(AND(F56="available",G56&lt;&gt;""),COUNTIFS($F$2:$F$200,"available",$H$2:$H$200,"&gt;"&amp;H56)&lt;$U$1,FALSE)</f>
        <v/>
      </c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</row>
    <row r="57">
      <c r="A57" s="9" t="n"/>
      <c r="B57" s="9" t="n"/>
      <c r="C57" s="9" t="n"/>
      <c r="D57" s="10" t="n"/>
      <c r="E57" s="9" t="n"/>
      <c r="F57" s="9" t="n"/>
      <c r="G57" s="15" t="n"/>
      <c r="H57" s="15">
        <f>IF(G57="","",E57-G57)</f>
        <v/>
      </c>
      <c r="I57" s="9">
        <f>IF(AND(F57="available",G57&lt;&gt;""),COUNTIFS($F$2:$F$200,"available",$H$2:$H$200,"&gt;"&amp;H57)&lt;$U$1,FALSE)</f>
        <v/>
      </c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</row>
    <row r="58">
      <c r="A58" s="9" t="n"/>
      <c r="B58" s="9" t="n"/>
      <c r="C58" s="9" t="n"/>
      <c r="D58" s="10" t="n"/>
      <c r="E58" s="9" t="n"/>
      <c r="F58" s="9" t="n"/>
      <c r="G58" s="15" t="n"/>
      <c r="H58" s="15">
        <f>IF(G58="","",E58-G58)</f>
        <v/>
      </c>
      <c r="I58" s="9">
        <f>IF(AND(F58="available",G58&lt;&gt;""),COUNTIFS($F$2:$F$200,"available",$H$2:$H$200,"&gt;"&amp;H58)&lt;$U$1,FALSE)</f>
        <v/>
      </c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</row>
    <row r="59">
      <c r="A59" s="9" t="n"/>
      <c r="B59" s="9" t="n"/>
      <c r="C59" s="9" t="n"/>
      <c r="D59" s="10" t="n"/>
      <c r="E59" s="9" t="n"/>
      <c r="F59" s="9" t="n"/>
      <c r="G59" s="15" t="n"/>
      <c r="H59" s="15">
        <f>IF(G59="","",E59-G59)</f>
        <v/>
      </c>
      <c r="I59" s="9">
        <f>IF(AND(F59="available",G59&lt;&gt;""),COUNTIFS($F$2:$F$200,"available",$H$2:$H$200,"&gt;"&amp;H59)&lt;$U$1,FALSE)</f>
        <v/>
      </c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</row>
    <row r="60">
      <c r="A60" s="9" t="n"/>
      <c r="B60" s="9" t="n"/>
      <c r="C60" s="9" t="n"/>
      <c r="D60" s="10" t="n"/>
      <c r="E60" s="9" t="n"/>
      <c r="F60" s="9" t="n"/>
      <c r="G60" s="15" t="n"/>
      <c r="H60" s="15">
        <f>IF(G60="","",E60-G60)</f>
        <v/>
      </c>
      <c r="I60" s="9">
        <f>IF(AND(F60="available",G60&lt;&gt;""),COUNTIFS($F$2:$F$200,"available",$H$2:$H$200,"&gt;"&amp;H60)&lt;$U$1,FALSE)</f>
        <v/>
      </c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</row>
    <row r="61">
      <c r="A61" s="9" t="n"/>
      <c r="B61" s="9" t="n"/>
      <c r="C61" s="9" t="n"/>
      <c r="D61" s="10" t="n"/>
      <c r="E61" s="9" t="n"/>
      <c r="F61" s="9" t="n"/>
      <c r="G61" s="15" t="n"/>
      <c r="H61" s="15">
        <f>IF(G61="","",E61-G61)</f>
        <v/>
      </c>
      <c r="I61" s="9">
        <f>IF(AND(F61="available",G61&lt;&gt;""),COUNTIFS($F$2:$F$200,"available",$H$2:$H$200,"&gt;"&amp;H61)&lt;$U$1,FALSE)</f>
        <v/>
      </c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</row>
    <row r="62">
      <c r="A62" s="9" t="n"/>
      <c r="B62" s="9" t="n"/>
      <c r="C62" s="9" t="n"/>
      <c r="D62" s="10" t="n"/>
      <c r="E62" s="9" t="n"/>
      <c r="F62" s="9" t="n"/>
      <c r="G62" s="15" t="n"/>
      <c r="H62" s="15">
        <f>IF(G62="","",E62-G62)</f>
        <v/>
      </c>
      <c r="I62" s="9">
        <f>IF(AND(F62="available",G62&lt;&gt;""),COUNTIFS($F$2:$F$200,"available",$H$2:$H$200,"&gt;"&amp;H62)&lt;$U$1,FALSE)</f>
        <v/>
      </c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>
      <c r="A63" s="9" t="n"/>
      <c r="B63" s="9" t="n"/>
      <c r="C63" s="9" t="n"/>
      <c r="D63" s="10" t="n"/>
      <c r="E63" s="9" t="n"/>
      <c r="F63" s="9" t="n"/>
      <c r="G63" s="15" t="n"/>
      <c r="H63" s="15">
        <f>IF(G63="","",E63-G63)</f>
        <v/>
      </c>
      <c r="I63" s="9">
        <f>IF(AND(F63="available",G63&lt;&gt;""),COUNTIFS($F$2:$F$200,"available",$H$2:$H$200,"&gt;"&amp;H63)&lt;$U$1,FALSE)</f>
        <v/>
      </c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</row>
    <row r="64">
      <c r="A64" s="9" t="n"/>
      <c r="B64" s="9" t="n"/>
      <c r="C64" s="9" t="n"/>
      <c r="D64" s="10" t="n"/>
      <c r="E64" s="9" t="n"/>
      <c r="F64" s="9" t="n"/>
      <c r="G64" s="15" t="n"/>
      <c r="H64" s="15">
        <f>IF(G64="","",E64-G64)</f>
        <v/>
      </c>
      <c r="I64" s="9">
        <f>IF(AND(F64="available",G64&lt;&gt;""),COUNTIFS($F$2:$F$200,"available",$H$2:$H$200,"&gt;"&amp;H64)&lt;$U$1,FALSE)</f>
        <v/>
      </c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</row>
    <row r="65">
      <c r="A65" s="9" t="n"/>
      <c r="B65" s="9" t="n"/>
      <c r="C65" s="9" t="n"/>
      <c r="D65" s="10" t="n"/>
      <c r="E65" s="9" t="n"/>
      <c r="F65" s="9" t="n"/>
      <c r="G65" s="15" t="n"/>
      <c r="H65" s="15">
        <f>IF(G65="","",E65-G65)</f>
        <v/>
      </c>
      <c r="I65" s="9">
        <f>IF(AND(F65="available",G65&lt;&gt;""),COUNTIFS($F$2:$F$200,"available",$H$2:$H$200,"&gt;"&amp;H65)&lt;$U$1,FALSE)</f>
        <v/>
      </c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</row>
    <row r="66">
      <c r="A66" s="9" t="n"/>
      <c r="B66" s="9" t="n"/>
      <c r="C66" s="9" t="n"/>
      <c r="D66" s="10" t="n"/>
      <c r="E66" s="9" t="n"/>
      <c r="F66" s="9" t="n"/>
      <c r="G66" s="15" t="n"/>
      <c r="H66" s="15">
        <f>IF(G66="","",E66-G66)</f>
        <v/>
      </c>
      <c r="I66" s="9">
        <f>IF(AND(F66="available",G66&lt;&gt;""),COUNTIFS($F$2:$F$200,"available",$H$2:$H$200,"&gt;"&amp;H66)&lt;$U$1,FALSE)</f>
        <v/>
      </c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</row>
    <row r="67">
      <c r="A67" s="9" t="n"/>
      <c r="B67" s="9" t="n"/>
      <c r="C67" s="9" t="n"/>
      <c r="D67" s="10" t="n"/>
      <c r="E67" s="9" t="n"/>
      <c r="F67" s="9" t="n"/>
      <c r="G67" s="15" t="n"/>
      <c r="H67" s="15">
        <f>IF(G67="","",E67-G67)</f>
        <v/>
      </c>
      <c r="I67" s="9">
        <f>IF(AND(F67="available",G67&lt;&gt;""),COUNTIFS($F$2:$F$200,"available",$H$2:$H$200,"&gt;"&amp;H67)&lt;$U$1,FALSE)</f>
        <v/>
      </c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</row>
    <row r="68">
      <c r="A68" s="9" t="n"/>
      <c r="B68" s="9" t="n"/>
      <c r="C68" s="9" t="n"/>
      <c r="D68" s="10" t="n"/>
      <c r="E68" s="9" t="n"/>
      <c r="F68" s="9" t="n"/>
      <c r="G68" s="15" t="n"/>
      <c r="H68" s="15">
        <f>IF(G68="","",E68-G68)</f>
        <v/>
      </c>
      <c r="I68" s="9">
        <f>IF(AND(F68="available",G68&lt;&gt;""),COUNTIFS($F$2:$F$200,"available",$H$2:$H$200,"&gt;"&amp;H68)&lt;$U$1,FALSE)</f>
        <v/>
      </c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</row>
    <row r="69">
      <c r="A69" s="9" t="n"/>
      <c r="B69" s="9" t="n"/>
      <c r="C69" s="9" t="n"/>
      <c r="D69" s="10" t="n"/>
      <c r="E69" s="9" t="n"/>
      <c r="F69" s="9" t="n"/>
      <c r="G69" s="15" t="n"/>
      <c r="H69" s="15">
        <f>IF(G69="","",E69-G69)</f>
        <v/>
      </c>
      <c r="I69" s="9">
        <f>IF(AND(F69="available",G69&lt;&gt;""),COUNTIFS($F$2:$F$200,"available",$H$2:$H$200,"&gt;"&amp;H69)&lt;$U$1,FALSE)</f>
        <v/>
      </c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</row>
    <row r="70">
      <c r="A70" s="9" t="n"/>
      <c r="B70" s="9" t="n"/>
      <c r="C70" s="9" t="n"/>
      <c r="D70" s="10" t="n"/>
      <c r="E70" s="9" t="n"/>
      <c r="F70" s="9" t="n"/>
      <c r="G70" s="15" t="n"/>
      <c r="H70" s="15">
        <f>IF(G70="","",E70-G70)</f>
        <v/>
      </c>
      <c r="I70" s="9">
        <f>IF(AND(F70="available",G70&lt;&gt;""),COUNTIFS($F$2:$F$200,"available",$H$2:$H$200,"&gt;"&amp;H70)&lt;$U$1,FALSE)</f>
        <v/>
      </c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</row>
    <row r="71">
      <c r="A71" s="9" t="n"/>
      <c r="B71" s="9" t="n"/>
      <c r="C71" s="9" t="n"/>
      <c r="D71" s="10" t="n"/>
      <c r="E71" s="9" t="n"/>
      <c r="F71" s="9" t="n"/>
      <c r="G71" s="15" t="n"/>
      <c r="H71" s="15">
        <f>IF(G71="","",E71-G71)</f>
        <v/>
      </c>
      <c r="I71" s="9">
        <f>IF(AND(F71="available",G71&lt;&gt;""),COUNTIFS($F$2:$F$200,"available",$H$2:$H$200,"&gt;"&amp;H71)&lt;$U$1,FALSE)</f>
        <v/>
      </c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</row>
    <row r="72">
      <c r="A72" s="9" t="n"/>
      <c r="B72" s="9" t="n"/>
      <c r="C72" s="9" t="n"/>
      <c r="D72" s="10" t="n"/>
      <c r="E72" s="9" t="n"/>
      <c r="F72" s="9" t="n"/>
      <c r="G72" s="15" t="n"/>
      <c r="H72" s="15">
        <f>IF(G72="","",E72-G72)</f>
        <v/>
      </c>
      <c r="I72" s="9">
        <f>IF(AND(F72="available",G72&lt;&gt;""),COUNTIFS($F$2:$F$200,"available",$H$2:$H$200,"&gt;"&amp;H72)&lt;$U$1,FALSE)</f>
        <v/>
      </c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</row>
    <row r="73">
      <c r="A73" s="9" t="n"/>
      <c r="B73" s="9" t="n"/>
      <c r="C73" s="9" t="n"/>
      <c r="D73" s="10" t="n"/>
      <c r="E73" s="9" t="n"/>
      <c r="F73" s="9" t="n"/>
      <c r="G73" s="15" t="n"/>
      <c r="H73" s="15">
        <f>IF(G73="","",E73-G73)</f>
        <v/>
      </c>
      <c r="I73" s="9">
        <f>IF(AND(F73="available",G73&lt;&gt;""),COUNTIFS($F$2:$F$200,"available",$H$2:$H$200,"&gt;"&amp;H73)&lt;$U$1,FALSE)</f>
        <v/>
      </c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</row>
    <row r="74">
      <c r="A74" s="9" t="n"/>
      <c r="B74" s="9" t="n"/>
      <c r="C74" s="9" t="n"/>
      <c r="D74" s="10" t="n"/>
      <c r="E74" s="9" t="n"/>
      <c r="F74" s="9" t="n"/>
      <c r="G74" s="15" t="n"/>
      <c r="H74" s="15">
        <f>IF(G74="","",E74-G74)</f>
        <v/>
      </c>
      <c r="I74" s="9">
        <f>IF(AND(F74="available",G74&lt;&gt;""),COUNTIFS($F$2:$F$200,"available",$H$2:$H$200,"&gt;"&amp;H74)&lt;$U$1,FALSE)</f>
        <v/>
      </c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</row>
    <row r="75">
      <c r="A75" s="9" t="n"/>
      <c r="B75" s="9" t="n"/>
      <c r="C75" s="9" t="n"/>
      <c r="D75" s="10" t="n"/>
      <c r="E75" s="9" t="n"/>
      <c r="F75" s="9" t="n"/>
      <c r="G75" s="15" t="n"/>
      <c r="H75" s="15">
        <f>IF(G75="","",E75-G75)</f>
        <v/>
      </c>
      <c r="I75" s="9">
        <f>IF(AND(F75="available",G75&lt;&gt;""),COUNTIFS($F$2:$F$200,"available",$H$2:$H$200,"&gt;"&amp;H75)&lt;$U$1,FALSE)</f>
        <v/>
      </c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</row>
    <row r="76">
      <c r="A76" s="9" t="n"/>
      <c r="B76" s="9" t="n"/>
      <c r="C76" s="9" t="n"/>
      <c r="D76" s="10" t="n"/>
      <c r="E76" s="9" t="n"/>
      <c r="F76" s="9" t="n"/>
      <c r="G76" s="15" t="n"/>
      <c r="H76" s="15">
        <f>IF(G76="","",E76-G76)</f>
        <v/>
      </c>
      <c r="I76" s="9">
        <f>IF(AND(F76="available",G76&lt;&gt;""),COUNTIFS($F$2:$F$200,"available",$H$2:$H$200,"&gt;"&amp;H76)&lt;$U$1,FALSE)</f>
        <v/>
      </c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</row>
    <row r="77">
      <c r="A77" s="9" t="n"/>
      <c r="B77" s="9" t="n"/>
      <c r="C77" s="9" t="n"/>
      <c r="D77" s="10" t="n"/>
      <c r="E77" s="9" t="n"/>
      <c r="F77" s="9" t="n"/>
      <c r="G77" s="15" t="n"/>
      <c r="H77" s="15">
        <f>IF(G77="","",E77-G77)</f>
        <v/>
      </c>
      <c r="I77" s="9">
        <f>IF(AND(F77="available",G77&lt;&gt;""),COUNTIFS($F$2:$F$200,"available",$H$2:$H$200,"&gt;"&amp;H77)&lt;$U$1,FALSE)</f>
        <v/>
      </c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</row>
    <row r="78">
      <c r="A78" s="9" t="n"/>
      <c r="B78" s="9" t="n"/>
      <c r="C78" s="9" t="n"/>
      <c r="D78" s="10" t="n"/>
      <c r="E78" s="9" t="n"/>
      <c r="F78" s="9" t="n"/>
      <c r="G78" s="15" t="n"/>
      <c r="H78" s="15">
        <f>IF(G78="","",E78-G78)</f>
        <v/>
      </c>
      <c r="I78" s="9">
        <f>IF(AND(F78="available",G78&lt;&gt;""),COUNTIFS($F$2:$F$200,"available",$H$2:$H$200,"&gt;"&amp;H78)&lt;$U$1,FALSE)</f>
        <v/>
      </c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</row>
    <row r="79">
      <c r="A79" s="9" t="n"/>
      <c r="B79" s="9" t="n"/>
      <c r="C79" s="9" t="n"/>
      <c r="D79" s="10" t="n"/>
      <c r="E79" s="9" t="n"/>
      <c r="F79" s="9" t="n"/>
      <c r="G79" s="15" t="n"/>
      <c r="H79" s="15">
        <f>IF(G79="","",E79-G79)</f>
        <v/>
      </c>
      <c r="I79" s="9">
        <f>IF(AND(F79="available",G79&lt;&gt;""),COUNTIFS($F$2:$F$200,"available",$H$2:$H$200,"&gt;"&amp;H79)&lt;$U$1,FALSE)</f>
        <v/>
      </c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</row>
    <row r="80">
      <c r="A80" s="9" t="n"/>
      <c r="B80" s="9" t="n"/>
      <c r="C80" s="9" t="n"/>
      <c r="D80" s="10" t="n"/>
      <c r="E80" s="9" t="n"/>
      <c r="F80" s="9" t="n"/>
      <c r="G80" s="15" t="n"/>
      <c r="H80" s="15">
        <f>IF(G80="","",E80-G80)</f>
        <v/>
      </c>
      <c r="I80" s="9">
        <f>IF(AND(F80="available",G80&lt;&gt;""),COUNTIFS($F$2:$F$200,"available",$H$2:$H$200,"&gt;"&amp;H80)&lt;$U$1,FALSE)</f>
        <v/>
      </c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</row>
    <row r="81">
      <c r="A81" s="9" t="n"/>
      <c r="B81" s="9" t="n"/>
      <c r="C81" s="9" t="n"/>
      <c r="D81" s="10" t="n"/>
      <c r="E81" s="9" t="n"/>
      <c r="F81" s="9" t="n"/>
      <c r="G81" s="15" t="n"/>
      <c r="H81" s="15">
        <f>IF(G81="","",E81-G81)</f>
        <v/>
      </c>
      <c r="I81" s="9">
        <f>IF(AND(F81="available",G81&lt;&gt;""),COUNTIFS($F$2:$F$200,"available",$H$2:$H$200,"&gt;"&amp;H81)&lt;$U$1,FALSE)</f>
        <v/>
      </c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</row>
    <row r="82">
      <c r="A82" s="9" t="n"/>
      <c r="B82" s="9" t="n"/>
      <c r="C82" s="9" t="n"/>
      <c r="D82" s="10" t="n"/>
      <c r="E82" s="9" t="n"/>
      <c r="F82" s="9" t="n"/>
      <c r="G82" s="15" t="n"/>
      <c r="H82" s="15">
        <f>IF(G82="","",E82-G82)</f>
        <v/>
      </c>
      <c r="I82" s="9">
        <f>IF(AND(F82="available",G82&lt;&gt;""),COUNTIFS($F$2:$F$200,"available",$H$2:$H$200,"&gt;"&amp;H82)&lt;$U$1,FALSE)</f>
        <v/>
      </c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</row>
    <row r="83">
      <c r="A83" s="9" t="n"/>
      <c r="B83" s="9" t="n"/>
      <c r="C83" s="9" t="n"/>
      <c r="D83" s="10" t="n"/>
      <c r="E83" s="9" t="n"/>
      <c r="F83" s="9" t="n"/>
      <c r="G83" s="15" t="n"/>
      <c r="H83" s="15">
        <f>IF(G83="","",E83-G83)</f>
        <v/>
      </c>
      <c r="I83" s="9">
        <f>IF(AND(F83="available",G83&lt;&gt;""),COUNTIFS($F$2:$F$200,"available",$H$2:$H$200,"&gt;"&amp;H83)&lt;$U$1,FALSE)</f>
        <v/>
      </c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</row>
    <row r="84">
      <c r="A84" s="9" t="n"/>
      <c r="B84" s="9" t="n"/>
      <c r="C84" s="9" t="n"/>
      <c r="D84" s="10" t="n"/>
      <c r="E84" s="9" t="n"/>
      <c r="F84" s="9" t="n"/>
      <c r="G84" s="15" t="n"/>
      <c r="H84" s="15">
        <f>IF(G84="","",E84-G84)</f>
        <v/>
      </c>
      <c r="I84" s="9">
        <f>IF(AND(F84="available",G84&lt;&gt;""),COUNTIFS($F$2:$F$200,"available",$H$2:$H$200,"&gt;"&amp;H84)&lt;$U$1,FALSE)</f>
        <v/>
      </c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</row>
    <row r="85">
      <c r="A85" s="9" t="n"/>
      <c r="B85" s="9" t="n"/>
      <c r="C85" s="9" t="n"/>
      <c r="D85" s="10" t="n"/>
      <c r="E85" s="9" t="n"/>
      <c r="F85" s="9" t="n"/>
      <c r="G85" s="15" t="n"/>
      <c r="H85" s="15">
        <f>IF(G85="","",E85-G85)</f>
        <v/>
      </c>
      <c r="I85" s="9">
        <f>IF(AND(F85="available",G85&lt;&gt;""),COUNTIFS($F$2:$F$200,"available",$H$2:$H$200,"&gt;"&amp;H85)&lt;$U$1,FALSE)</f>
        <v/>
      </c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</row>
    <row r="86">
      <c r="A86" s="9" t="n"/>
      <c r="B86" s="9" t="n"/>
      <c r="C86" s="9" t="n"/>
      <c r="D86" s="10" t="n"/>
      <c r="E86" s="9" t="n"/>
      <c r="F86" s="9" t="n"/>
      <c r="G86" s="15" t="n"/>
      <c r="H86" s="15">
        <f>IF(G86="","",E86-G86)</f>
        <v/>
      </c>
      <c r="I86" s="9">
        <f>IF(AND(F86="available",G86&lt;&gt;""),COUNTIFS($F$2:$F$200,"available",$H$2:$H$200,"&gt;"&amp;H86)&lt;$U$1,FALSE)</f>
        <v/>
      </c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</row>
    <row r="87">
      <c r="A87" s="9" t="n"/>
      <c r="B87" s="9" t="n"/>
      <c r="C87" s="9" t="n"/>
      <c r="D87" s="10" t="n"/>
      <c r="E87" s="9" t="n"/>
      <c r="F87" s="9" t="n"/>
      <c r="G87" s="15" t="n"/>
      <c r="H87" s="15">
        <f>IF(G87="","",E87-G87)</f>
        <v/>
      </c>
      <c r="I87" s="9">
        <f>IF(AND(F87="available",G87&lt;&gt;""),COUNTIFS($F$2:$F$200,"available",$H$2:$H$200,"&gt;"&amp;H87)&lt;$U$1,FALSE)</f>
        <v/>
      </c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</row>
    <row r="88">
      <c r="A88" s="9" t="n"/>
      <c r="B88" s="9" t="n"/>
      <c r="C88" s="9" t="n"/>
      <c r="D88" s="10" t="n"/>
      <c r="E88" s="9" t="n"/>
      <c r="F88" s="9" t="n"/>
      <c r="G88" s="15" t="n"/>
      <c r="H88" s="15">
        <f>IF(G88="","",E88-G88)</f>
        <v/>
      </c>
      <c r="I88" s="9">
        <f>IF(AND(F88="available",G88&lt;&gt;""),COUNTIFS($F$2:$F$200,"available",$H$2:$H$200,"&gt;"&amp;H88)&lt;$U$1,FALSE)</f>
        <v/>
      </c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</row>
    <row r="89">
      <c r="A89" s="9" t="n"/>
      <c r="B89" s="9" t="n"/>
      <c r="C89" s="9" t="n"/>
      <c r="D89" s="10" t="n"/>
      <c r="E89" s="9" t="n"/>
      <c r="F89" s="9" t="n"/>
      <c r="G89" s="15" t="n"/>
      <c r="H89" s="15">
        <f>IF(G89="","",E89-G89)</f>
        <v/>
      </c>
      <c r="I89" s="9">
        <f>IF(AND(F89="available",G89&lt;&gt;""),COUNTIFS($F$2:$F$200,"available",$H$2:$H$200,"&gt;"&amp;H89)&lt;$U$1,FALSE)</f>
        <v/>
      </c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</row>
    <row r="90">
      <c r="A90" s="9" t="n"/>
      <c r="B90" s="9" t="n"/>
      <c r="C90" s="9" t="n"/>
      <c r="D90" s="10" t="n"/>
      <c r="E90" s="9" t="n"/>
      <c r="F90" s="9" t="n"/>
      <c r="G90" s="15" t="n"/>
      <c r="H90" s="15">
        <f>IF(G90="","",E90-G90)</f>
        <v/>
      </c>
      <c r="I90" s="9">
        <f>IF(AND(F90="available",G90&lt;&gt;""),COUNTIFS($F$2:$F$200,"available",$H$2:$H$200,"&gt;"&amp;H90)&lt;$U$1,FALSE)</f>
        <v/>
      </c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</row>
    <row r="91">
      <c r="A91" s="9" t="n"/>
      <c r="B91" s="9" t="n"/>
      <c r="C91" s="9" t="n"/>
      <c r="D91" s="10" t="n"/>
      <c r="E91" s="9" t="n"/>
      <c r="F91" s="9" t="n"/>
      <c r="G91" s="15" t="n"/>
      <c r="H91" s="15">
        <f>IF(G91="","",E91-G91)</f>
        <v/>
      </c>
      <c r="I91" s="9">
        <f>IF(AND(F91="available",G91&lt;&gt;""),COUNTIFS($F$2:$F$200,"available",$H$2:$H$200,"&gt;"&amp;H91)&lt;$U$1,FALSE)</f>
        <v/>
      </c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</row>
    <row r="92">
      <c r="A92" s="9" t="n"/>
      <c r="B92" s="9" t="n"/>
      <c r="C92" s="9" t="n"/>
      <c r="D92" s="10" t="n"/>
      <c r="E92" s="9" t="n"/>
      <c r="F92" s="9" t="n"/>
      <c r="G92" s="15" t="n"/>
      <c r="H92" s="15">
        <f>IF(G92="","",E92-G92)</f>
        <v/>
      </c>
      <c r="I92" s="9">
        <f>IF(AND(F92="available",G92&lt;&gt;""),COUNTIFS($F$2:$F$200,"available",$H$2:$H$200,"&gt;"&amp;H92)&lt;$U$1,FALSE)</f>
        <v/>
      </c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</row>
    <row r="93">
      <c r="A93" s="9" t="n"/>
      <c r="B93" s="9" t="n"/>
      <c r="C93" s="9" t="n"/>
      <c r="D93" s="10" t="n"/>
      <c r="E93" s="9" t="n"/>
      <c r="F93" s="9" t="n"/>
      <c r="G93" s="15" t="n"/>
      <c r="H93" s="15">
        <f>IF(G93="","",E93-G93)</f>
        <v/>
      </c>
      <c r="I93" s="9">
        <f>IF(AND(F93="available",G93&lt;&gt;""),COUNTIFS($F$2:$F$200,"available",$H$2:$H$200,"&gt;"&amp;H93)&lt;$U$1,FALSE)</f>
        <v/>
      </c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</row>
    <row r="94">
      <c r="A94" s="9" t="n"/>
      <c r="B94" s="9" t="n"/>
      <c r="C94" s="9" t="n"/>
      <c r="D94" s="10" t="n"/>
      <c r="E94" s="9" t="n"/>
      <c r="F94" s="9" t="n"/>
      <c r="G94" s="15" t="n"/>
      <c r="H94" s="15">
        <f>IF(G94="","",E94-G94)</f>
        <v/>
      </c>
      <c r="I94" s="9">
        <f>IF(AND(F94="available",G94&lt;&gt;""),COUNTIFS($F$2:$F$200,"available",$H$2:$H$200,"&gt;"&amp;H94)&lt;$U$1,FALSE)</f>
        <v/>
      </c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</row>
    <row r="95">
      <c r="A95" s="9" t="n"/>
      <c r="B95" s="9" t="n"/>
      <c r="C95" s="9" t="n"/>
      <c r="D95" s="10" t="n"/>
      <c r="E95" s="9" t="n"/>
      <c r="F95" s="9" t="n"/>
      <c r="G95" s="15" t="n"/>
      <c r="H95" s="15">
        <f>IF(G95="","",E95-G95)</f>
        <v/>
      </c>
      <c r="I95" s="9">
        <f>IF(AND(F95="available",G95&lt;&gt;""),COUNTIFS($F$2:$F$200,"available",$H$2:$H$200,"&gt;"&amp;H95)&lt;$U$1,FALSE)</f>
        <v/>
      </c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</row>
    <row r="96">
      <c r="A96" s="9" t="n"/>
      <c r="B96" s="9" t="n"/>
      <c r="C96" s="9" t="n"/>
      <c r="D96" s="10" t="n"/>
      <c r="E96" s="9" t="n"/>
      <c r="F96" s="9" t="n"/>
      <c r="G96" s="15" t="n"/>
      <c r="H96" s="15">
        <f>IF(G96="","",E96-G96)</f>
        <v/>
      </c>
      <c r="I96" s="9">
        <f>IF(AND(F96="available",G96&lt;&gt;""),COUNTIFS($F$2:$F$200,"available",$H$2:$H$200,"&gt;"&amp;H96)&lt;$U$1,FALSE)</f>
        <v/>
      </c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</row>
    <row r="97">
      <c r="A97" s="9" t="n"/>
      <c r="B97" s="9" t="n"/>
      <c r="C97" s="9" t="n"/>
      <c r="D97" s="10" t="n"/>
      <c r="E97" s="9" t="n"/>
      <c r="F97" s="9" t="n"/>
      <c r="G97" s="15" t="n"/>
      <c r="H97" s="15">
        <f>IF(G97="","",E97-G97)</f>
        <v/>
      </c>
      <c r="I97" s="9">
        <f>IF(AND(F97="available",G97&lt;&gt;""),COUNTIFS($F$2:$F$200,"available",$H$2:$H$200,"&gt;"&amp;H97)&lt;$U$1,FALSE)</f>
        <v/>
      </c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</row>
    <row r="98">
      <c r="A98" s="9" t="n"/>
      <c r="B98" s="9" t="n"/>
      <c r="C98" s="9" t="n"/>
      <c r="D98" s="10" t="n"/>
      <c r="E98" s="9" t="n"/>
      <c r="F98" s="9" t="n"/>
      <c r="G98" s="15" t="n"/>
      <c r="H98" s="15">
        <f>IF(G98="","",E98-G98)</f>
        <v/>
      </c>
      <c r="I98" s="9">
        <f>IF(AND(F98="available",G98&lt;&gt;""),COUNTIFS($F$2:$F$200,"available",$H$2:$H$200,"&gt;"&amp;H98)&lt;$U$1,FALSE)</f>
        <v/>
      </c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</row>
    <row r="99">
      <c r="A99" s="9" t="n"/>
      <c r="B99" s="9" t="n"/>
      <c r="C99" s="9" t="n"/>
      <c r="D99" s="10" t="n"/>
      <c r="E99" s="9" t="n"/>
      <c r="F99" s="9" t="n"/>
      <c r="G99" s="15" t="n"/>
      <c r="H99" s="15">
        <f>IF(G99="","",E99-G99)</f>
        <v/>
      </c>
      <c r="I99" s="9">
        <f>IF(AND(F99="available",G99&lt;&gt;""),COUNTIFS($F$2:$F$200,"available",$H$2:$H$200,"&gt;"&amp;H99)&lt;$U$1,FALSE)</f>
        <v/>
      </c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</row>
    <row r="100">
      <c r="A100" s="9" t="n"/>
      <c r="B100" s="9" t="n"/>
      <c r="C100" s="9" t="n"/>
      <c r="D100" s="10" t="n"/>
      <c r="E100" s="9" t="n"/>
      <c r="F100" s="9" t="n"/>
      <c r="G100" s="15" t="n"/>
      <c r="H100" s="15">
        <f>IF(G100="","",E100-G100)</f>
        <v/>
      </c>
      <c r="I100" s="9">
        <f>IF(AND(F100="available",G100&lt;&gt;""),COUNTIFS($F$2:$F$200,"available",$H$2:$H$200,"&gt;"&amp;H100)&lt;$U$1,FALSE)</f>
        <v/>
      </c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</row>
    <row r="101">
      <c r="A101" s="9" t="n"/>
      <c r="B101" s="9" t="n"/>
      <c r="C101" s="9" t="n"/>
      <c r="D101" s="10" t="n"/>
      <c r="E101" s="9" t="n"/>
      <c r="F101" s="9" t="n"/>
      <c r="G101" s="15" t="n"/>
      <c r="H101" s="15">
        <f>IF(G101="","",E101-G101)</f>
        <v/>
      </c>
      <c r="I101" s="9">
        <f>IF(AND(F101="available",G101&lt;&gt;""),COUNTIFS($F$2:$F$200,"available",$H$2:$H$200,"&gt;"&amp;H101)&lt;$U$1,FALSE)</f>
        <v/>
      </c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</row>
    <row r="102">
      <c r="A102" s="9" t="n"/>
      <c r="B102" s="9" t="n"/>
      <c r="C102" s="9" t="n"/>
      <c r="D102" s="10" t="n"/>
      <c r="E102" s="9" t="n"/>
      <c r="F102" s="9" t="n"/>
      <c r="G102" s="15" t="n"/>
      <c r="H102" s="15">
        <f>IF(G102="","",E102-G102)</f>
        <v/>
      </c>
      <c r="I102" s="9">
        <f>IF(AND(F102="available",G102&lt;&gt;""),COUNTIFS($F$2:$F$200,"available",$H$2:$H$200,"&gt;"&amp;H102)&lt;$U$1,FALSE)</f>
        <v/>
      </c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</row>
    <row r="103">
      <c r="A103" s="9" t="n"/>
      <c r="B103" s="9" t="n"/>
      <c r="C103" s="9" t="n"/>
      <c r="D103" s="10" t="n"/>
      <c r="E103" s="9" t="n"/>
      <c r="F103" s="9" t="n"/>
      <c r="G103" s="15" t="n"/>
      <c r="H103" s="15">
        <f>IF(G103="","",E103-G103)</f>
        <v/>
      </c>
      <c r="I103" s="9">
        <f>IF(AND(F103="available",G103&lt;&gt;""),COUNTIFS($F$2:$F$200,"available",$H$2:$H$200,"&gt;"&amp;H103)&lt;$U$1,FALSE)</f>
        <v/>
      </c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</row>
    <row r="104">
      <c r="A104" s="9" t="n"/>
      <c r="B104" s="9" t="n"/>
      <c r="C104" s="9" t="n"/>
      <c r="D104" s="10" t="n"/>
      <c r="E104" s="9" t="n"/>
      <c r="F104" s="9" t="n"/>
      <c r="G104" s="15" t="n"/>
      <c r="H104" s="15">
        <f>IF(G104="","",E104-G104)</f>
        <v/>
      </c>
      <c r="I104" s="9">
        <f>IF(AND(F104="available",G104&lt;&gt;""),COUNTIFS($F$2:$F$200,"available",$H$2:$H$200,"&gt;"&amp;H104)&lt;$U$1,FALSE)</f>
        <v/>
      </c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</row>
    <row r="105">
      <c r="A105" s="9" t="n"/>
      <c r="B105" s="9" t="n"/>
      <c r="C105" s="9" t="n"/>
      <c r="D105" s="10" t="n"/>
      <c r="E105" s="9" t="n"/>
      <c r="F105" s="9" t="n"/>
      <c r="G105" s="15" t="n"/>
      <c r="H105" s="15">
        <f>IF(G105="","",E105-G105)</f>
        <v/>
      </c>
      <c r="I105" s="9">
        <f>IF(AND(F105="available",G105&lt;&gt;""),COUNTIFS($F$2:$F$200,"available",$H$2:$H$200,"&gt;"&amp;H105)&lt;$U$1,FALSE)</f>
        <v/>
      </c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</row>
    <row r="106">
      <c r="A106" s="9" t="n"/>
      <c r="B106" s="9" t="n"/>
      <c r="C106" s="9" t="n"/>
      <c r="D106" s="10" t="n"/>
      <c r="E106" s="9" t="n"/>
      <c r="F106" s="9" t="n"/>
      <c r="G106" s="15" t="n"/>
      <c r="H106" s="15">
        <f>IF(G106="","",E106-G106)</f>
        <v/>
      </c>
      <c r="I106" s="9">
        <f>IF(AND(F106="available",G106&lt;&gt;""),COUNTIFS($F$2:$F$200,"available",$H$2:$H$200,"&gt;"&amp;H106)&lt;$U$1,FALSE)</f>
        <v/>
      </c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</row>
    <row r="107">
      <c r="A107" s="9" t="n"/>
      <c r="B107" s="9" t="n"/>
      <c r="C107" s="9" t="n"/>
      <c r="D107" s="10" t="n"/>
      <c r="E107" s="9" t="n"/>
      <c r="F107" s="9" t="n"/>
      <c r="G107" s="15" t="n"/>
      <c r="H107" s="15">
        <f>IF(G107="","",E107-G107)</f>
        <v/>
      </c>
      <c r="I107" s="9">
        <f>IF(AND(F107="available",G107&lt;&gt;""),COUNTIFS($F$2:$F$200,"available",$H$2:$H$200,"&gt;"&amp;H107)&lt;$U$1,FALSE)</f>
        <v/>
      </c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</row>
    <row r="108">
      <c r="A108" s="9" t="n"/>
      <c r="B108" s="9" t="n"/>
      <c r="C108" s="9" t="n"/>
      <c r="D108" s="10" t="n"/>
      <c r="E108" s="9" t="n"/>
      <c r="F108" s="9" t="n"/>
      <c r="G108" s="15" t="n"/>
      <c r="H108" s="15">
        <f>IF(G108="","",E108-G108)</f>
        <v/>
      </c>
      <c r="I108" s="9">
        <f>IF(AND(F108="available",G108&lt;&gt;""),COUNTIFS($F$2:$F$200,"available",$H$2:$H$200,"&gt;"&amp;H108)&lt;$U$1,FALSE)</f>
        <v/>
      </c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</row>
    <row r="109">
      <c r="A109" s="9" t="n"/>
      <c r="B109" s="9" t="n"/>
      <c r="C109" s="9" t="n"/>
      <c r="D109" s="10" t="n"/>
      <c r="E109" s="9" t="n"/>
      <c r="F109" s="9" t="n"/>
      <c r="G109" s="15" t="n"/>
      <c r="H109" s="15">
        <f>IF(G109="","",E109-G109)</f>
        <v/>
      </c>
      <c r="I109" s="9">
        <f>IF(AND(F109="available",G109&lt;&gt;""),COUNTIFS($F$2:$F$200,"available",$H$2:$H$200,"&gt;"&amp;H109)&lt;$U$1,FALSE)</f>
        <v/>
      </c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</row>
    <row r="110">
      <c r="A110" s="9" t="n"/>
      <c r="B110" s="9" t="n"/>
      <c r="C110" s="9" t="n"/>
      <c r="D110" s="10" t="n"/>
      <c r="E110" s="9" t="n"/>
      <c r="F110" s="9" t="n"/>
      <c r="G110" s="15" t="n"/>
      <c r="H110" s="15">
        <f>IF(G110="","",E110-G110)</f>
        <v/>
      </c>
      <c r="I110" s="9">
        <f>IF(AND(F110="available",G110&lt;&gt;""),COUNTIFS($F$2:$F$200,"available",$H$2:$H$200,"&gt;"&amp;H110)&lt;$U$1,FALSE)</f>
        <v/>
      </c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</row>
    <row r="111">
      <c r="A111" s="9" t="n"/>
      <c r="B111" s="9" t="n"/>
      <c r="C111" s="9" t="n"/>
      <c r="D111" s="10" t="n"/>
      <c r="E111" s="9" t="n"/>
      <c r="F111" s="9" t="n"/>
      <c r="G111" s="15" t="n"/>
      <c r="H111" s="15">
        <f>IF(G111="","",E111-G111)</f>
        <v/>
      </c>
      <c r="I111" s="9">
        <f>IF(AND(F111="available",G111&lt;&gt;""),COUNTIFS($F$2:$F$200,"available",$H$2:$H$200,"&gt;"&amp;H111)&lt;$U$1,FALSE)</f>
        <v/>
      </c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</row>
    <row r="112">
      <c r="A112" s="9" t="n"/>
      <c r="B112" s="9" t="n"/>
      <c r="C112" s="9" t="n"/>
      <c r="D112" s="10" t="n"/>
      <c r="E112" s="9" t="n"/>
      <c r="F112" s="9" t="n"/>
      <c r="G112" s="15" t="n"/>
      <c r="H112" s="15">
        <f>IF(G112="","",E112-G112)</f>
        <v/>
      </c>
      <c r="I112" s="9">
        <f>IF(AND(F112="available",G112&lt;&gt;""),COUNTIFS($F$2:$F$200,"available",$H$2:$H$200,"&gt;"&amp;H112)&lt;$U$1,FALSE)</f>
        <v/>
      </c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</row>
    <row r="113">
      <c r="A113" s="9" t="n"/>
      <c r="B113" s="9" t="n"/>
      <c r="C113" s="9" t="n"/>
      <c r="D113" s="10" t="n"/>
      <c r="E113" s="9" t="n"/>
      <c r="F113" s="9" t="n"/>
      <c r="G113" s="15" t="n"/>
      <c r="H113" s="15">
        <f>IF(G113="","",E113-G113)</f>
        <v/>
      </c>
      <c r="I113" s="9">
        <f>IF(AND(F113="available",G113&lt;&gt;""),COUNTIFS($F$2:$F$200,"available",$H$2:$H$200,"&gt;"&amp;H113)&lt;$U$1,FALSE)</f>
        <v/>
      </c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</row>
    <row r="114">
      <c r="A114" s="9" t="n"/>
      <c r="B114" s="9" t="n"/>
      <c r="C114" s="9" t="n"/>
      <c r="D114" s="10" t="n"/>
      <c r="E114" s="9" t="n"/>
      <c r="F114" s="9" t="n"/>
      <c r="G114" s="15" t="n"/>
      <c r="H114" s="15">
        <f>IF(G114="","",E114-G114)</f>
        <v/>
      </c>
      <c r="I114" s="9">
        <f>IF(AND(F114="available",G114&lt;&gt;""),COUNTIFS($F$2:$F$200,"available",$H$2:$H$200,"&gt;"&amp;H114)&lt;$U$1,FALSE)</f>
        <v/>
      </c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</row>
    <row r="115">
      <c r="A115" s="9" t="n"/>
      <c r="B115" s="9" t="n"/>
      <c r="C115" s="9" t="n"/>
      <c r="D115" s="10" t="n"/>
      <c r="E115" s="9" t="n"/>
      <c r="F115" s="9" t="n"/>
      <c r="G115" s="15" t="n"/>
      <c r="H115" s="15">
        <f>IF(G115="","",E115-G115)</f>
        <v/>
      </c>
      <c r="I115" s="9">
        <f>IF(AND(F115="available",G115&lt;&gt;""),COUNTIFS($F$2:$F$200,"available",$H$2:$H$200,"&gt;"&amp;H115)&lt;$U$1,FALSE)</f>
        <v/>
      </c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</row>
    <row r="116">
      <c r="A116" s="9" t="n"/>
      <c r="B116" s="9" t="n"/>
      <c r="C116" s="9" t="n"/>
      <c r="D116" s="10" t="n"/>
      <c r="E116" s="9" t="n"/>
      <c r="F116" s="9" t="n"/>
      <c r="G116" s="15" t="n"/>
      <c r="H116" s="15">
        <f>IF(G116="","",E116-G116)</f>
        <v/>
      </c>
      <c r="I116" s="9">
        <f>IF(AND(F116="available",G116&lt;&gt;""),COUNTIFS($F$2:$F$200,"available",$H$2:$H$200,"&gt;"&amp;H116)&lt;$U$1,FALSE)</f>
        <v/>
      </c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</row>
    <row r="117">
      <c r="A117" s="9" t="n"/>
      <c r="B117" s="9" t="n"/>
      <c r="C117" s="9" t="n"/>
      <c r="D117" s="10" t="n"/>
      <c r="E117" s="9" t="n"/>
      <c r="F117" s="9" t="n"/>
      <c r="G117" s="15" t="n"/>
      <c r="H117" s="15">
        <f>IF(G117="","",E117-G117)</f>
        <v/>
      </c>
      <c r="I117" s="9">
        <f>IF(AND(F117="available",G117&lt;&gt;""),COUNTIFS($F$2:$F$200,"available",$H$2:$H$200,"&gt;"&amp;H117)&lt;$U$1,FALSE)</f>
        <v/>
      </c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</row>
    <row r="118">
      <c r="A118" s="9" t="n"/>
      <c r="B118" s="9" t="n"/>
      <c r="C118" s="9" t="n"/>
      <c r="D118" s="10" t="n"/>
      <c r="E118" s="9" t="n"/>
      <c r="F118" s="9" t="n"/>
      <c r="G118" s="15" t="n"/>
      <c r="H118" s="15">
        <f>IF(G118="","",E118-G118)</f>
        <v/>
      </c>
      <c r="I118" s="9">
        <f>IF(AND(F118="available",G118&lt;&gt;""),COUNTIFS($F$2:$F$200,"available",$H$2:$H$200,"&gt;"&amp;H118)&lt;$U$1,FALSE)</f>
        <v/>
      </c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</row>
    <row r="119">
      <c r="A119" s="9" t="n"/>
      <c r="B119" s="9" t="n"/>
      <c r="C119" s="9" t="n"/>
      <c r="D119" s="10" t="n"/>
      <c r="E119" s="9" t="n"/>
      <c r="F119" s="9" t="n"/>
      <c r="G119" s="15" t="n"/>
      <c r="H119" s="15">
        <f>IF(G119="","",E119-G119)</f>
        <v/>
      </c>
      <c r="I119" s="9">
        <f>IF(AND(F119="available",G119&lt;&gt;""),COUNTIFS($F$2:$F$200,"available",$H$2:$H$200,"&gt;"&amp;H119)&lt;$U$1,FALSE)</f>
        <v/>
      </c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</row>
    <row r="120">
      <c r="A120" s="9" t="n"/>
      <c r="B120" s="9" t="n"/>
      <c r="C120" s="9" t="n"/>
      <c r="D120" s="10" t="n"/>
      <c r="E120" s="9" t="n"/>
      <c r="F120" s="9" t="n"/>
      <c r="G120" s="15" t="n"/>
      <c r="H120" s="15">
        <f>IF(G120="","",E120-G120)</f>
        <v/>
      </c>
      <c r="I120" s="9">
        <f>IF(AND(F120="available",G120&lt;&gt;""),COUNTIFS($F$2:$F$200,"available",$H$2:$H$200,"&gt;"&amp;H120)&lt;$U$1,FALSE)</f>
        <v/>
      </c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</row>
    <row r="121">
      <c r="A121" s="9" t="n"/>
      <c r="B121" s="9" t="n"/>
      <c r="C121" s="9" t="n"/>
      <c r="D121" s="10" t="n"/>
      <c r="E121" s="9" t="n"/>
      <c r="F121" s="9" t="n"/>
      <c r="G121" s="15" t="n"/>
      <c r="H121" s="15">
        <f>IF(G121="","",E121-G121)</f>
        <v/>
      </c>
      <c r="I121" s="9">
        <f>IF(AND(F121="available",G121&lt;&gt;""),COUNTIFS($F$2:$F$200,"available",$H$2:$H$200,"&gt;"&amp;H121)&lt;$U$1,FALSE)</f>
        <v/>
      </c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</row>
    <row r="122">
      <c r="A122" s="9" t="n"/>
      <c r="B122" s="9" t="n"/>
      <c r="C122" s="9" t="n"/>
      <c r="D122" s="10" t="n"/>
      <c r="E122" s="9" t="n"/>
      <c r="F122" s="9" t="n"/>
      <c r="G122" s="15" t="n"/>
      <c r="H122" s="15">
        <f>IF(G122="","",E122-G122)</f>
        <v/>
      </c>
      <c r="I122" s="9">
        <f>IF(AND(F122="available",G122&lt;&gt;""),COUNTIFS($F$2:$F$200,"available",$H$2:$H$200,"&gt;"&amp;H122)&lt;$U$1,FALSE)</f>
        <v/>
      </c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</row>
    <row r="123">
      <c r="A123" s="9" t="n"/>
      <c r="B123" s="9" t="n"/>
      <c r="C123" s="9" t="n"/>
      <c r="D123" s="10" t="n"/>
      <c r="E123" s="9" t="n"/>
      <c r="F123" s="9" t="n"/>
      <c r="G123" s="15" t="n"/>
      <c r="H123" s="15">
        <f>IF(G123="","",E123-G123)</f>
        <v/>
      </c>
      <c r="I123" s="9">
        <f>IF(AND(F123="available",G123&lt;&gt;""),COUNTIFS($F$2:$F$200,"available",$H$2:$H$200,"&gt;"&amp;H123)&lt;$U$1,FALSE)</f>
        <v/>
      </c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</row>
    <row r="124">
      <c r="A124" s="9" t="n"/>
      <c r="B124" s="9" t="n"/>
      <c r="C124" s="9" t="n"/>
      <c r="D124" s="10" t="n"/>
      <c r="E124" s="9" t="n"/>
      <c r="F124" s="9" t="n"/>
      <c r="G124" s="15" t="n"/>
      <c r="H124" s="15">
        <f>IF(G124="","",E124-G124)</f>
        <v/>
      </c>
      <c r="I124" s="9">
        <f>IF(AND(F124="available",G124&lt;&gt;""),COUNTIFS($F$2:$F$200,"available",$H$2:$H$200,"&gt;"&amp;H124)&lt;$U$1,FALSE)</f>
        <v/>
      </c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</row>
    <row r="125">
      <c r="A125" s="9" t="n"/>
      <c r="B125" s="9" t="n"/>
      <c r="C125" s="9" t="n"/>
      <c r="D125" s="10" t="n"/>
      <c r="E125" s="9" t="n"/>
      <c r="F125" s="9" t="n"/>
      <c r="G125" s="15" t="n"/>
      <c r="H125" s="15">
        <f>IF(G125="","",E125-G125)</f>
        <v/>
      </c>
      <c r="I125" s="9">
        <f>IF(AND(F125="available",G125&lt;&gt;""),COUNTIFS($F$2:$F$200,"available",$H$2:$H$200,"&gt;"&amp;H125)&lt;$U$1,FALSE)</f>
        <v/>
      </c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</row>
    <row r="126">
      <c r="A126" s="9" t="n"/>
      <c r="B126" s="9" t="n"/>
      <c r="C126" s="9" t="n"/>
      <c r="D126" s="10" t="n"/>
      <c r="E126" s="9" t="n"/>
      <c r="F126" s="9" t="n"/>
      <c r="G126" s="15" t="n"/>
      <c r="H126" s="15">
        <f>IF(G126="","",E126-G126)</f>
        <v/>
      </c>
      <c r="I126" s="9">
        <f>IF(AND(F126="available",G126&lt;&gt;""),COUNTIFS($F$2:$F$200,"available",$H$2:$H$200,"&gt;"&amp;H126)&lt;$U$1,FALSE)</f>
        <v/>
      </c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</row>
    <row r="127">
      <c r="A127" s="9" t="n"/>
      <c r="B127" s="9" t="n"/>
      <c r="C127" s="9" t="n"/>
      <c r="D127" s="10" t="n"/>
      <c r="E127" s="9" t="n"/>
      <c r="F127" s="9" t="n"/>
      <c r="G127" s="15" t="n"/>
      <c r="H127" s="15">
        <f>IF(G127="","",E127-G127)</f>
        <v/>
      </c>
      <c r="I127" s="9">
        <f>IF(AND(F127="available",G127&lt;&gt;""),COUNTIFS($F$2:$F$200,"available",$H$2:$H$200,"&gt;"&amp;H127)&lt;$U$1,FALSE)</f>
        <v/>
      </c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</row>
    <row r="128">
      <c r="A128" s="9" t="n"/>
      <c r="B128" s="9" t="n"/>
      <c r="C128" s="9" t="n"/>
      <c r="D128" s="10" t="n"/>
      <c r="E128" s="9" t="n"/>
      <c r="F128" s="9" t="n"/>
      <c r="G128" s="15" t="n"/>
      <c r="H128" s="15">
        <f>IF(G128="","",E128-G128)</f>
        <v/>
      </c>
      <c r="I128" s="9">
        <f>IF(AND(F128="available",G128&lt;&gt;""),COUNTIFS($F$2:$F$200,"available",$H$2:$H$200,"&gt;"&amp;H128)&lt;$U$1,FALSE)</f>
        <v/>
      </c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</row>
    <row r="129">
      <c r="A129" s="9" t="n"/>
      <c r="B129" s="9" t="n"/>
      <c r="C129" s="9" t="n"/>
      <c r="D129" s="10" t="n"/>
      <c r="E129" s="9" t="n"/>
      <c r="F129" s="9" t="n"/>
      <c r="G129" s="15" t="n"/>
      <c r="H129" s="15">
        <f>IF(G129="","",E129-G129)</f>
        <v/>
      </c>
      <c r="I129" s="9">
        <f>IF(AND(F129="available",G129&lt;&gt;""),COUNTIFS($F$2:$F$200,"available",$H$2:$H$200,"&gt;"&amp;H129)&lt;$U$1,FALSE)</f>
        <v/>
      </c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</row>
    <row r="130">
      <c r="A130" s="9" t="n"/>
      <c r="B130" s="9" t="n"/>
      <c r="C130" s="9" t="n"/>
      <c r="D130" s="10" t="n"/>
      <c r="E130" s="9" t="n"/>
      <c r="F130" s="9" t="n"/>
      <c r="G130" s="15" t="n"/>
      <c r="H130" s="15">
        <f>IF(G130="","",E130-G130)</f>
        <v/>
      </c>
      <c r="I130" s="9">
        <f>IF(AND(F130="available",G130&lt;&gt;""),COUNTIFS($F$2:$F$200,"available",$H$2:$H$200,"&gt;"&amp;H130)&lt;$U$1,FALSE)</f>
        <v/>
      </c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</row>
    <row r="131">
      <c r="A131" s="9" t="n"/>
      <c r="B131" s="9" t="n"/>
      <c r="C131" s="9" t="n"/>
      <c r="D131" s="10" t="n"/>
      <c r="E131" s="9" t="n"/>
      <c r="F131" s="9" t="n"/>
      <c r="G131" s="15" t="n"/>
      <c r="H131" s="15">
        <f>IF(G131="","",E131-G131)</f>
        <v/>
      </c>
      <c r="I131" s="9">
        <f>IF(AND(F131="available",G131&lt;&gt;""),COUNTIFS($F$2:$F$200,"available",$H$2:$H$200,"&gt;"&amp;H131)&lt;$U$1,FALSE)</f>
        <v/>
      </c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</row>
    <row r="132">
      <c r="A132" s="9" t="n"/>
      <c r="B132" s="9" t="n"/>
      <c r="C132" s="9" t="n"/>
      <c r="D132" s="10" t="n"/>
      <c r="E132" s="9" t="n"/>
      <c r="F132" s="9" t="n"/>
      <c r="G132" s="15" t="n"/>
      <c r="H132" s="15">
        <f>IF(G132="","",E132-G132)</f>
        <v/>
      </c>
      <c r="I132" s="9">
        <f>IF(AND(F132="available",G132&lt;&gt;""),COUNTIFS($F$2:$F$200,"available",$H$2:$H$200,"&gt;"&amp;H132)&lt;$U$1,FALSE)</f>
        <v/>
      </c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</row>
    <row r="133">
      <c r="A133" s="9" t="n"/>
      <c r="B133" s="9" t="n"/>
      <c r="C133" s="9" t="n"/>
      <c r="D133" s="10" t="n"/>
      <c r="E133" s="9" t="n"/>
      <c r="F133" s="9" t="n"/>
      <c r="G133" s="15" t="n"/>
      <c r="H133" s="15">
        <f>IF(G133="","",E133-G133)</f>
        <v/>
      </c>
      <c r="I133" s="9">
        <f>IF(AND(F133="available",G133&lt;&gt;""),COUNTIFS($F$2:$F$200,"available",$H$2:$H$200,"&gt;"&amp;H133)&lt;$U$1,FALSE)</f>
        <v/>
      </c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</row>
    <row r="134">
      <c r="A134" s="9" t="n"/>
      <c r="B134" s="9" t="n"/>
      <c r="C134" s="9" t="n"/>
      <c r="D134" s="10" t="n"/>
      <c r="E134" s="9" t="n"/>
      <c r="F134" s="9" t="n"/>
      <c r="G134" s="15" t="n"/>
      <c r="H134" s="15">
        <f>IF(G134="","",E134-G134)</f>
        <v/>
      </c>
      <c r="I134" s="9">
        <f>IF(AND(F134="available",G134&lt;&gt;""),COUNTIFS($F$2:$F$200,"available",$H$2:$H$200,"&gt;"&amp;H134)&lt;$U$1,FALSE)</f>
        <v/>
      </c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</row>
    <row r="135">
      <c r="A135" s="9" t="n"/>
      <c r="B135" s="9" t="n"/>
      <c r="C135" s="9" t="n"/>
      <c r="D135" s="10" t="n"/>
      <c r="E135" s="9" t="n"/>
      <c r="F135" s="9" t="n"/>
      <c r="G135" s="15" t="n"/>
      <c r="H135" s="15">
        <f>IF(G135="","",E135-G135)</f>
        <v/>
      </c>
      <c r="I135" s="9">
        <f>IF(AND(F135="available",G135&lt;&gt;""),COUNTIFS($F$2:$F$200,"available",$H$2:$H$200,"&gt;"&amp;H135)&lt;$U$1,FALSE)</f>
        <v/>
      </c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</row>
    <row r="136">
      <c r="A136" s="9" t="n"/>
      <c r="B136" s="9" t="n"/>
      <c r="C136" s="9" t="n"/>
      <c r="D136" s="10" t="n"/>
      <c r="E136" s="9" t="n"/>
      <c r="F136" s="9" t="n"/>
      <c r="G136" s="15" t="n"/>
      <c r="H136" s="15">
        <f>IF(G136="","",E136-G136)</f>
        <v/>
      </c>
      <c r="I136" s="9">
        <f>IF(AND(F136="available",G136&lt;&gt;""),COUNTIFS($F$2:$F$200,"available",$H$2:$H$200,"&gt;"&amp;H136)&lt;$U$1,FALSE)</f>
        <v/>
      </c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</row>
    <row r="137">
      <c r="A137" s="9" t="n"/>
      <c r="B137" s="9" t="n"/>
      <c r="C137" s="9" t="n"/>
      <c r="D137" s="10" t="n"/>
      <c r="E137" s="9" t="n"/>
      <c r="F137" s="9" t="n"/>
      <c r="G137" s="15" t="n"/>
      <c r="H137" s="15">
        <f>IF(G137="","",E137-G137)</f>
        <v/>
      </c>
      <c r="I137" s="9">
        <f>IF(AND(F137="available",G137&lt;&gt;""),COUNTIFS($F$2:$F$200,"available",$H$2:$H$200,"&gt;"&amp;H137)&lt;$U$1,FALSE)</f>
        <v/>
      </c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</row>
    <row r="138">
      <c r="A138" s="9" t="n"/>
      <c r="B138" s="9" t="n"/>
      <c r="C138" s="9" t="n"/>
      <c r="D138" s="10" t="n"/>
      <c r="E138" s="9" t="n"/>
      <c r="F138" s="9" t="n"/>
      <c r="G138" s="15" t="n"/>
      <c r="H138" s="15">
        <f>IF(G138="","",E138-G138)</f>
        <v/>
      </c>
      <c r="I138" s="9">
        <f>IF(AND(F138="available",G138&lt;&gt;""),COUNTIFS($F$2:$F$200,"available",$H$2:$H$200,"&gt;"&amp;H138)&lt;$U$1,FALSE)</f>
        <v/>
      </c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</row>
    <row r="139">
      <c r="A139" s="9" t="n"/>
      <c r="B139" s="9" t="n"/>
      <c r="C139" s="9" t="n"/>
      <c r="D139" s="10" t="n"/>
      <c r="E139" s="9" t="n"/>
      <c r="F139" s="9" t="n"/>
      <c r="G139" s="15" t="n"/>
      <c r="H139" s="15">
        <f>IF(G139="","",E139-G139)</f>
        <v/>
      </c>
      <c r="I139" s="9">
        <f>IF(AND(F139="available",G139&lt;&gt;""),COUNTIFS($F$2:$F$200,"available",$H$2:$H$200,"&gt;"&amp;H139)&lt;$U$1,FALSE)</f>
        <v/>
      </c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</row>
    <row r="140">
      <c r="A140" s="9" t="n"/>
      <c r="B140" s="9" t="n"/>
      <c r="C140" s="9" t="n"/>
      <c r="D140" s="10" t="n"/>
      <c r="E140" s="9" t="n"/>
      <c r="F140" s="9" t="n"/>
      <c r="G140" s="15" t="n"/>
      <c r="H140" s="15">
        <f>IF(G140="","",E140-G140)</f>
        <v/>
      </c>
      <c r="I140" s="9">
        <f>IF(AND(F140="available",G140&lt;&gt;""),COUNTIFS($F$2:$F$200,"available",$H$2:$H$200,"&gt;"&amp;H140)&lt;$U$1,FALSE)</f>
        <v/>
      </c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</row>
    <row r="141">
      <c r="A141" s="9" t="n"/>
      <c r="B141" s="9" t="n"/>
      <c r="C141" s="9" t="n"/>
      <c r="D141" s="10" t="n"/>
      <c r="E141" s="9" t="n"/>
      <c r="F141" s="9" t="n"/>
      <c r="G141" s="15" t="n"/>
      <c r="H141" s="15">
        <f>IF(G141="","",E141-G141)</f>
        <v/>
      </c>
      <c r="I141" s="9">
        <f>IF(AND(F141="available",G141&lt;&gt;""),COUNTIFS($F$2:$F$200,"available",$H$2:$H$200,"&gt;"&amp;H141)&lt;$U$1,FALSE)</f>
        <v/>
      </c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</row>
    <row r="142">
      <c r="A142" s="9" t="n"/>
      <c r="B142" s="9" t="n"/>
      <c r="C142" s="9" t="n"/>
      <c r="D142" s="10" t="n"/>
      <c r="E142" s="9" t="n"/>
      <c r="F142" s="9" t="n"/>
      <c r="G142" s="15" t="n"/>
      <c r="H142" s="15">
        <f>IF(G142="","",E142-G142)</f>
        <v/>
      </c>
      <c r="I142" s="9">
        <f>IF(AND(F142="available",G142&lt;&gt;""),COUNTIFS($F$2:$F$200,"available",$H$2:$H$200,"&gt;"&amp;H142)&lt;$U$1,FALSE)</f>
        <v/>
      </c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</row>
    <row r="143">
      <c r="A143" s="9" t="n"/>
      <c r="B143" s="9" t="n"/>
      <c r="C143" s="9" t="n"/>
      <c r="D143" s="10" t="n"/>
      <c r="E143" s="9" t="n"/>
      <c r="F143" s="9" t="n"/>
      <c r="G143" s="15" t="n"/>
      <c r="H143" s="15">
        <f>IF(G143="","",E143-G143)</f>
        <v/>
      </c>
      <c r="I143" s="9">
        <f>IF(AND(F143="available",G143&lt;&gt;""),COUNTIFS($F$2:$F$200,"available",$H$2:$H$200,"&gt;"&amp;H143)&lt;$U$1,FALSE)</f>
        <v/>
      </c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</row>
    <row r="144">
      <c r="A144" s="9" t="n"/>
      <c r="B144" s="9" t="n"/>
      <c r="C144" s="9" t="n"/>
      <c r="D144" s="10" t="n"/>
      <c r="E144" s="9" t="n"/>
      <c r="F144" s="9" t="n"/>
      <c r="G144" s="15" t="n"/>
      <c r="H144" s="15">
        <f>IF(G144="","",E144-G144)</f>
        <v/>
      </c>
      <c r="I144" s="9">
        <f>IF(AND(F144="available",G144&lt;&gt;""),COUNTIFS($F$2:$F$200,"available",$H$2:$H$200,"&gt;"&amp;H144)&lt;$U$1,FALSE)</f>
        <v/>
      </c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</row>
    <row r="145">
      <c r="A145" s="9" t="n"/>
      <c r="B145" s="9" t="n"/>
      <c r="C145" s="9" t="n"/>
      <c r="D145" s="10" t="n"/>
      <c r="E145" s="9" t="n"/>
      <c r="F145" s="9" t="n"/>
      <c r="G145" s="15" t="n"/>
      <c r="H145" s="15">
        <f>IF(G145="","",E145-G145)</f>
        <v/>
      </c>
      <c r="I145" s="9">
        <f>IF(AND(F145="available",G145&lt;&gt;""),COUNTIFS($F$2:$F$200,"available",$H$2:$H$200,"&gt;"&amp;H145)&lt;$U$1,FALSE)</f>
        <v/>
      </c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</row>
    <row r="146">
      <c r="A146" s="9" t="n"/>
      <c r="B146" s="9" t="n"/>
      <c r="C146" s="9" t="n"/>
      <c r="D146" s="10" t="n"/>
      <c r="E146" s="9" t="n"/>
      <c r="F146" s="9" t="n"/>
      <c r="G146" s="15" t="n"/>
      <c r="H146" s="15">
        <f>IF(G146="","",E146-G146)</f>
        <v/>
      </c>
      <c r="I146" s="9">
        <f>IF(AND(F146="available",G146&lt;&gt;""),COUNTIFS($F$2:$F$200,"available",$H$2:$H$200,"&gt;"&amp;H146)&lt;$U$1,FALSE)</f>
        <v/>
      </c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</row>
    <row r="147">
      <c r="A147" s="9" t="n"/>
      <c r="B147" s="9" t="n"/>
      <c r="C147" s="9" t="n"/>
      <c r="D147" s="10" t="n"/>
      <c r="E147" s="9" t="n"/>
      <c r="F147" s="9" t="n"/>
      <c r="G147" s="15" t="n"/>
      <c r="H147" s="15">
        <f>IF(G147="","",E147-G147)</f>
        <v/>
      </c>
      <c r="I147" s="9">
        <f>IF(AND(F147="available",G147&lt;&gt;""),COUNTIFS($F$2:$F$200,"available",$H$2:$H$200,"&gt;"&amp;H147)&lt;$U$1,FALSE)</f>
        <v/>
      </c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</row>
    <row r="148">
      <c r="A148" s="9" t="n"/>
      <c r="B148" s="9" t="n"/>
      <c r="C148" s="9" t="n"/>
      <c r="D148" s="10" t="n"/>
      <c r="E148" s="9" t="n"/>
      <c r="F148" s="9" t="n"/>
      <c r="G148" s="15" t="n"/>
      <c r="H148" s="15">
        <f>IF(G148="","",E148-G148)</f>
        <v/>
      </c>
      <c r="I148" s="9">
        <f>IF(AND(F148="available",G148&lt;&gt;""),COUNTIFS($F$2:$F$200,"available",$H$2:$H$200,"&gt;"&amp;H148)&lt;$U$1,FALSE)</f>
        <v/>
      </c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</row>
    <row r="149">
      <c r="A149" s="9" t="n"/>
      <c r="B149" s="9" t="n"/>
      <c r="C149" s="9" t="n"/>
      <c r="D149" s="10" t="n"/>
      <c r="E149" s="9" t="n"/>
      <c r="F149" s="9" t="n"/>
      <c r="G149" s="15" t="n"/>
      <c r="H149" s="15">
        <f>IF(G149="","",E149-G149)</f>
        <v/>
      </c>
      <c r="I149" s="9">
        <f>IF(AND(F149="available",G149&lt;&gt;""),COUNTIFS($F$2:$F$200,"available",$H$2:$H$200,"&gt;"&amp;H149)&lt;$U$1,FALSE)</f>
        <v/>
      </c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</row>
    <row r="150">
      <c r="A150" s="9" t="n"/>
      <c r="B150" s="9" t="n"/>
      <c r="C150" s="9" t="n"/>
      <c r="D150" s="10" t="n"/>
      <c r="E150" s="9" t="n"/>
      <c r="F150" s="9" t="n"/>
      <c r="G150" s="15" t="n"/>
      <c r="H150" s="15">
        <f>IF(G150="","",E150-G150)</f>
        <v/>
      </c>
      <c r="I150" s="9">
        <f>IF(AND(F150="available",G150&lt;&gt;""),COUNTIFS($F$2:$F$200,"available",$H$2:$H$200,"&gt;"&amp;H150)&lt;$U$1,FALSE)</f>
        <v/>
      </c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</row>
    <row r="151">
      <c r="A151" s="9" t="n"/>
      <c r="B151" s="9" t="n"/>
      <c r="C151" s="9" t="n"/>
      <c r="D151" s="10" t="n"/>
      <c r="E151" s="9" t="n"/>
      <c r="F151" s="9" t="n"/>
      <c r="G151" s="15" t="n"/>
      <c r="H151" s="15">
        <f>IF(G151="","",E151-G151)</f>
        <v/>
      </c>
      <c r="I151" s="9">
        <f>IF(AND(F151="available",G151&lt;&gt;""),COUNTIFS($F$2:$F$200,"available",$H$2:$H$200,"&gt;"&amp;H151)&lt;$U$1,FALSE)</f>
        <v/>
      </c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</row>
    <row r="152">
      <c r="A152" s="9" t="n"/>
      <c r="B152" s="9" t="n"/>
      <c r="C152" s="9" t="n"/>
      <c r="D152" s="10" t="n"/>
      <c r="E152" s="9" t="n"/>
      <c r="F152" s="9" t="n"/>
      <c r="G152" s="15" t="n"/>
      <c r="H152" s="15">
        <f>IF(G152="","",E152-G152)</f>
        <v/>
      </c>
      <c r="I152" s="9">
        <f>IF(AND(F152="available",G152&lt;&gt;""),COUNTIFS($F$2:$F$200,"available",$H$2:$H$200,"&gt;"&amp;H152)&lt;$U$1,FALSE)</f>
        <v/>
      </c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</row>
    <row r="153">
      <c r="A153" s="9" t="n"/>
      <c r="B153" s="9" t="n"/>
      <c r="C153" s="9" t="n"/>
      <c r="D153" s="10" t="n"/>
      <c r="E153" s="9" t="n"/>
      <c r="F153" s="9" t="n"/>
      <c r="G153" s="15" t="n"/>
      <c r="H153" s="15">
        <f>IF(G153="","",E153-G153)</f>
        <v/>
      </c>
      <c r="I153" s="9">
        <f>IF(AND(F153="available",G153&lt;&gt;""),COUNTIFS($F$2:$F$200,"available",$H$2:$H$200,"&gt;"&amp;H153)&lt;$U$1,FALSE)</f>
        <v/>
      </c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</row>
    <row r="154">
      <c r="A154" s="9" t="n"/>
      <c r="B154" s="9" t="n"/>
      <c r="C154" s="9" t="n"/>
      <c r="D154" s="10" t="n"/>
      <c r="E154" s="9" t="n"/>
      <c r="F154" s="9" t="n"/>
      <c r="G154" s="15" t="n"/>
      <c r="H154" s="15">
        <f>IF(G154="","",E154-G154)</f>
        <v/>
      </c>
      <c r="I154" s="9">
        <f>IF(AND(F154="available",G154&lt;&gt;""),COUNTIFS($F$2:$F$200,"available",$H$2:$H$200,"&gt;"&amp;H154)&lt;$U$1,FALSE)</f>
        <v/>
      </c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</row>
    <row r="155">
      <c r="A155" s="9" t="n"/>
      <c r="B155" s="9" t="n"/>
      <c r="C155" s="9" t="n"/>
      <c r="D155" s="10" t="n"/>
      <c r="E155" s="9" t="n"/>
      <c r="F155" s="9" t="n"/>
      <c r="G155" s="15" t="n"/>
      <c r="H155" s="15">
        <f>IF(G155="","",E155-G155)</f>
        <v/>
      </c>
      <c r="I155" s="9">
        <f>IF(AND(F155="available",G155&lt;&gt;""),COUNTIFS($F$2:$F$200,"available",$H$2:$H$200,"&gt;"&amp;H155)&lt;$U$1,FALSE)</f>
        <v/>
      </c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</row>
    <row r="156">
      <c r="A156" s="9" t="n"/>
      <c r="B156" s="9" t="n"/>
      <c r="C156" s="9" t="n"/>
      <c r="D156" s="10" t="n"/>
      <c r="E156" s="9" t="n"/>
      <c r="F156" s="9" t="n"/>
      <c r="G156" s="15" t="n"/>
      <c r="H156" s="15">
        <f>IF(G156="","",E156-G156)</f>
        <v/>
      </c>
      <c r="I156" s="9">
        <f>IF(AND(F156="available",G156&lt;&gt;""),COUNTIFS($F$2:$F$200,"available",$H$2:$H$200,"&gt;"&amp;H156)&lt;$U$1,FALSE)</f>
        <v/>
      </c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</row>
    <row r="157">
      <c r="A157" s="9" t="n"/>
      <c r="B157" s="9" t="n"/>
      <c r="C157" s="9" t="n"/>
      <c r="D157" s="10" t="n"/>
      <c r="E157" s="9" t="n"/>
      <c r="F157" s="9" t="n"/>
      <c r="G157" s="15" t="n"/>
      <c r="H157" s="15">
        <f>IF(G157="","",E157-G157)</f>
        <v/>
      </c>
      <c r="I157" s="9">
        <f>IF(AND(F157="available",G157&lt;&gt;""),COUNTIFS($F$2:$F$200,"available",$H$2:$H$200,"&gt;"&amp;H157)&lt;$U$1,FALSE)</f>
        <v/>
      </c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</row>
    <row r="158">
      <c r="A158" s="9" t="n"/>
      <c r="B158" s="9" t="n"/>
      <c r="C158" s="9" t="n"/>
      <c r="D158" s="10" t="n"/>
      <c r="E158" s="9" t="n"/>
      <c r="F158" s="9" t="n"/>
      <c r="G158" s="15" t="n"/>
      <c r="H158" s="15">
        <f>IF(G158="","",E158-G158)</f>
        <v/>
      </c>
      <c r="I158" s="9">
        <f>IF(AND(F158="available",G158&lt;&gt;""),COUNTIFS($F$2:$F$200,"available",$H$2:$H$200,"&gt;"&amp;H158)&lt;$U$1,FALSE)</f>
        <v/>
      </c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</row>
    <row r="159">
      <c r="A159" s="9" t="n"/>
      <c r="B159" s="9" t="n"/>
      <c r="C159" s="9" t="n"/>
      <c r="D159" s="10" t="n"/>
      <c r="E159" s="9" t="n"/>
      <c r="F159" s="9" t="n"/>
      <c r="G159" s="15" t="n"/>
      <c r="H159" s="15">
        <f>IF(G159="","",E159-G159)</f>
        <v/>
      </c>
      <c r="I159" s="9">
        <f>IF(AND(F159="available",G159&lt;&gt;""),COUNTIFS($F$2:$F$200,"available",$H$2:$H$200,"&gt;"&amp;H159)&lt;$U$1,FALSE)</f>
        <v/>
      </c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</row>
    <row r="160">
      <c r="A160" s="9" t="n"/>
      <c r="B160" s="9" t="n"/>
      <c r="C160" s="9" t="n"/>
      <c r="D160" s="10" t="n"/>
      <c r="E160" s="9" t="n"/>
      <c r="F160" s="9" t="n"/>
      <c r="G160" s="15" t="n"/>
      <c r="H160" s="15">
        <f>IF(G160="","",E160-G160)</f>
        <v/>
      </c>
      <c r="I160" s="9">
        <f>IF(AND(F160="available",G160&lt;&gt;""),COUNTIFS($F$2:$F$200,"available",$H$2:$H$200,"&gt;"&amp;H160)&lt;$U$1,FALSE)</f>
        <v/>
      </c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</row>
    <row r="161">
      <c r="A161" s="9" t="n"/>
      <c r="B161" s="9" t="n"/>
      <c r="C161" s="9" t="n"/>
      <c r="D161" s="10" t="n"/>
      <c r="E161" s="9" t="n"/>
      <c r="F161" s="9" t="n"/>
      <c r="G161" s="15" t="n"/>
      <c r="H161" s="15">
        <f>IF(G161="","",E161-G161)</f>
        <v/>
      </c>
      <c r="I161" s="9">
        <f>IF(AND(F161="available",G161&lt;&gt;""),COUNTIFS($F$2:$F$200,"available",$H$2:$H$200,"&gt;"&amp;H161)&lt;$U$1,FALSE)</f>
        <v/>
      </c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</row>
    <row r="162">
      <c r="A162" s="9" t="n"/>
      <c r="B162" s="9" t="n"/>
      <c r="C162" s="9" t="n"/>
      <c r="D162" s="10" t="n"/>
      <c r="E162" s="9" t="n"/>
      <c r="F162" s="9" t="n"/>
      <c r="G162" s="15" t="n"/>
      <c r="H162" s="15">
        <f>IF(G162="","",E162-G162)</f>
        <v/>
      </c>
      <c r="I162" s="9">
        <f>IF(AND(F162="available",G162&lt;&gt;""),COUNTIFS($F$2:$F$200,"available",$H$2:$H$200,"&gt;"&amp;H162)&lt;$U$1,FALSE)</f>
        <v/>
      </c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</row>
    <row r="163">
      <c r="A163" s="9" t="n"/>
      <c r="B163" s="9" t="n"/>
      <c r="C163" s="9" t="n"/>
      <c r="D163" s="10" t="n"/>
      <c r="E163" s="9" t="n"/>
      <c r="F163" s="9" t="n"/>
      <c r="G163" s="15" t="n"/>
      <c r="H163" s="15">
        <f>IF(G163="","",E163-G163)</f>
        <v/>
      </c>
      <c r="I163" s="9">
        <f>IF(AND(F163="available",G163&lt;&gt;""),COUNTIFS($F$2:$F$200,"available",$H$2:$H$200,"&gt;"&amp;H163)&lt;$U$1,FALSE)</f>
        <v/>
      </c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</row>
    <row r="164">
      <c r="A164" s="9" t="n"/>
      <c r="B164" s="9" t="n"/>
      <c r="C164" s="9" t="n"/>
      <c r="D164" s="10" t="n"/>
      <c r="E164" s="9" t="n"/>
      <c r="F164" s="9" t="n"/>
      <c r="G164" s="15" t="n"/>
      <c r="H164" s="15">
        <f>IF(G164="","",E164-G164)</f>
        <v/>
      </c>
      <c r="I164" s="9">
        <f>IF(AND(F164="available",G164&lt;&gt;""),COUNTIFS($F$2:$F$200,"available",$H$2:$H$200,"&gt;"&amp;H164)&lt;$U$1,FALSE)</f>
        <v/>
      </c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</row>
    <row r="165">
      <c r="A165" s="9" t="n"/>
      <c r="B165" s="9" t="n"/>
      <c r="C165" s="9" t="n"/>
      <c r="D165" s="10" t="n"/>
      <c r="E165" s="9" t="n"/>
      <c r="F165" s="9" t="n"/>
      <c r="G165" s="15" t="n"/>
      <c r="H165" s="15">
        <f>IF(G165="","",E165-G165)</f>
        <v/>
      </c>
      <c r="I165" s="9">
        <f>IF(AND(F165="available",G165&lt;&gt;""),COUNTIFS($F$2:$F$200,"available",$H$2:$H$200,"&gt;"&amp;H165)&lt;$U$1,FALSE)</f>
        <v/>
      </c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</row>
    <row r="166">
      <c r="A166" s="9" t="n"/>
      <c r="B166" s="9" t="n"/>
      <c r="C166" s="9" t="n"/>
      <c r="D166" s="10" t="n"/>
      <c r="E166" s="9" t="n"/>
      <c r="F166" s="9" t="n"/>
      <c r="G166" s="15" t="n"/>
      <c r="H166" s="15">
        <f>IF(G166="","",E166-G166)</f>
        <v/>
      </c>
      <c r="I166" s="9">
        <f>IF(AND(F166="available",G166&lt;&gt;""),COUNTIFS($F$2:$F$200,"available",$H$2:$H$200,"&gt;"&amp;H166)&lt;$U$1,FALSE)</f>
        <v/>
      </c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</row>
    <row r="167">
      <c r="A167" s="9" t="n"/>
      <c r="B167" s="9" t="n"/>
      <c r="C167" s="9" t="n"/>
      <c r="D167" s="10" t="n"/>
      <c r="E167" s="9" t="n"/>
      <c r="F167" s="9" t="n"/>
      <c r="G167" s="15" t="n"/>
      <c r="H167" s="15">
        <f>IF(G167="","",E167-G167)</f>
        <v/>
      </c>
      <c r="I167" s="9">
        <f>IF(AND(F167="available",G167&lt;&gt;""),COUNTIFS($F$2:$F$200,"available",$H$2:$H$200,"&gt;"&amp;H167)&lt;$U$1,FALSE)</f>
        <v/>
      </c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</row>
    <row r="168">
      <c r="A168" s="9" t="n"/>
      <c r="B168" s="9" t="n"/>
      <c r="C168" s="9" t="n"/>
      <c r="D168" s="10" t="n"/>
      <c r="E168" s="9" t="n"/>
      <c r="F168" s="9" t="n"/>
      <c r="G168" s="15" t="n"/>
      <c r="H168" s="15">
        <f>IF(G168="","",E168-G168)</f>
        <v/>
      </c>
      <c r="I168" s="9">
        <f>IF(AND(F168="available",G168&lt;&gt;""),COUNTIFS($F$2:$F$200,"available",$H$2:$H$200,"&gt;"&amp;H168)&lt;$U$1,FALSE)</f>
        <v/>
      </c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</row>
    <row r="169">
      <c r="A169" s="9" t="n"/>
      <c r="B169" s="9" t="n"/>
      <c r="C169" s="9" t="n"/>
      <c r="D169" s="10" t="n"/>
      <c r="E169" s="9" t="n"/>
      <c r="F169" s="9" t="n"/>
      <c r="G169" s="15" t="n"/>
      <c r="H169" s="15">
        <f>IF(G169="","",E169-G169)</f>
        <v/>
      </c>
      <c r="I169" s="9">
        <f>IF(AND(F169="available",G169&lt;&gt;""),COUNTIFS($F$2:$F$200,"available",$H$2:$H$200,"&gt;"&amp;H169)&lt;$U$1,FALSE)</f>
        <v/>
      </c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</row>
    <row r="170">
      <c r="A170" s="9" t="n"/>
      <c r="B170" s="9" t="n"/>
      <c r="C170" s="9" t="n"/>
      <c r="D170" s="10" t="n"/>
      <c r="E170" s="9" t="n"/>
      <c r="F170" s="9" t="n"/>
      <c r="G170" s="15" t="n"/>
      <c r="H170" s="15">
        <f>IF(G170="","",E170-G170)</f>
        <v/>
      </c>
      <c r="I170" s="9">
        <f>IF(AND(F170="available",G170&lt;&gt;""),COUNTIFS($F$2:$F$200,"available",$H$2:$H$200,"&gt;"&amp;H170)&lt;$U$1,FALSE)</f>
        <v/>
      </c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</row>
    <row r="171">
      <c r="A171" s="9" t="n"/>
      <c r="B171" s="9" t="n"/>
      <c r="C171" s="9" t="n"/>
      <c r="D171" s="10" t="n"/>
      <c r="E171" s="9" t="n"/>
      <c r="F171" s="9" t="n"/>
      <c r="G171" s="15" t="n"/>
      <c r="H171" s="15">
        <f>IF(G171="","",E171-G171)</f>
        <v/>
      </c>
      <c r="I171" s="9">
        <f>IF(AND(F171="available",G171&lt;&gt;""),COUNTIFS($F$2:$F$200,"available",$H$2:$H$200,"&gt;"&amp;H171)&lt;$U$1,FALSE)</f>
        <v/>
      </c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</row>
    <row r="172">
      <c r="A172" s="9" t="n"/>
      <c r="B172" s="9" t="n"/>
      <c r="C172" s="9" t="n"/>
      <c r="D172" s="10" t="n"/>
      <c r="E172" s="9" t="n"/>
      <c r="F172" s="9" t="n"/>
      <c r="G172" s="15" t="n"/>
      <c r="H172" s="15">
        <f>IF(G172="","",E172-G172)</f>
        <v/>
      </c>
      <c r="I172" s="9">
        <f>IF(AND(F172="available",G172&lt;&gt;""),COUNTIFS($F$2:$F$200,"available",$H$2:$H$200,"&gt;"&amp;H172)&lt;$U$1,FALSE)</f>
        <v/>
      </c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</row>
    <row r="173">
      <c r="A173" s="9" t="n"/>
      <c r="B173" s="9" t="n"/>
      <c r="C173" s="9" t="n"/>
      <c r="D173" s="10" t="n"/>
      <c r="E173" s="9" t="n"/>
      <c r="F173" s="9" t="n"/>
      <c r="G173" s="15" t="n"/>
      <c r="H173" s="15">
        <f>IF(G173="","",E173-G173)</f>
        <v/>
      </c>
      <c r="I173" s="9">
        <f>IF(AND(F173="available",G173&lt;&gt;""),COUNTIFS($F$2:$F$200,"available",$H$2:$H$200,"&gt;"&amp;H173)&lt;$U$1,FALSE)</f>
        <v/>
      </c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</row>
    <row r="174">
      <c r="A174" s="9" t="n"/>
      <c r="B174" s="9" t="n"/>
      <c r="C174" s="9" t="n"/>
      <c r="D174" s="10" t="n"/>
      <c r="E174" s="9" t="n"/>
      <c r="F174" s="9" t="n"/>
      <c r="G174" s="15" t="n"/>
      <c r="H174" s="15">
        <f>IF(G174="","",E174-G174)</f>
        <v/>
      </c>
      <c r="I174" s="9">
        <f>IF(AND(F174="available",G174&lt;&gt;""),COUNTIFS($F$2:$F$200,"available",$H$2:$H$200,"&gt;"&amp;H174)&lt;$U$1,FALSE)</f>
        <v/>
      </c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</row>
    <row r="175">
      <c r="A175" s="9" t="n"/>
      <c r="B175" s="9" t="n"/>
      <c r="C175" s="9" t="n"/>
      <c r="D175" s="10" t="n"/>
      <c r="E175" s="9" t="n"/>
      <c r="F175" s="9" t="n"/>
      <c r="G175" s="15" t="n"/>
      <c r="H175" s="15">
        <f>IF(G175="","",E175-G175)</f>
        <v/>
      </c>
      <c r="I175" s="9">
        <f>IF(AND(F175="available",G175&lt;&gt;""),COUNTIFS($F$2:$F$200,"available",$H$2:$H$200,"&gt;"&amp;H175)&lt;$U$1,FALSE)</f>
        <v/>
      </c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</row>
    <row r="176">
      <c r="A176" s="9" t="n"/>
      <c r="B176" s="9" t="n"/>
      <c r="C176" s="9" t="n"/>
      <c r="D176" s="10" t="n"/>
      <c r="E176" s="9" t="n"/>
      <c r="F176" s="9" t="n"/>
      <c r="G176" s="15" t="n"/>
      <c r="H176" s="15">
        <f>IF(G176="","",E176-G176)</f>
        <v/>
      </c>
      <c r="I176" s="9">
        <f>IF(AND(F176="available",G176&lt;&gt;""),COUNTIFS($F$2:$F$200,"available",$H$2:$H$200,"&gt;"&amp;H176)&lt;$U$1,FALSE)</f>
        <v/>
      </c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</row>
    <row r="177">
      <c r="A177" s="9" t="n"/>
      <c r="B177" s="9" t="n"/>
      <c r="C177" s="9" t="n"/>
      <c r="D177" s="10" t="n"/>
      <c r="E177" s="9" t="n"/>
      <c r="F177" s="9" t="n"/>
      <c r="G177" s="15" t="n"/>
      <c r="H177" s="15">
        <f>IF(G177="","",E177-G177)</f>
        <v/>
      </c>
      <c r="I177" s="9">
        <f>IF(AND(F177="available",G177&lt;&gt;""),COUNTIFS($F$2:$F$200,"available",$H$2:$H$200,"&gt;"&amp;H177)&lt;$U$1,FALSE)</f>
        <v/>
      </c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</row>
    <row r="178">
      <c r="A178" s="9" t="n"/>
      <c r="B178" s="9" t="n"/>
      <c r="C178" s="9" t="n"/>
      <c r="D178" s="10" t="n"/>
      <c r="E178" s="9" t="n"/>
      <c r="F178" s="9" t="n"/>
      <c r="G178" s="15" t="n"/>
      <c r="H178" s="15">
        <f>IF(G178="","",E178-G178)</f>
        <v/>
      </c>
      <c r="I178" s="9">
        <f>IF(AND(F178="available",G178&lt;&gt;""),COUNTIFS($F$2:$F$200,"available",$H$2:$H$200,"&gt;"&amp;H178)&lt;$U$1,FALSE)</f>
        <v/>
      </c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</row>
    <row r="179">
      <c r="A179" s="9" t="n"/>
      <c r="B179" s="9" t="n"/>
      <c r="C179" s="9" t="n"/>
      <c r="D179" s="10" t="n"/>
      <c r="E179" s="9" t="n"/>
      <c r="F179" s="9" t="n"/>
      <c r="G179" s="15" t="n"/>
      <c r="H179" s="15">
        <f>IF(G179="","",E179-G179)</f>
        <v/>
      </c>
      <c r="I179" s="9">
        <f>IF(AND(F179="available",G179&lt;&gt;""),COUNTIFS($F$2:$F$200,"available",$H$2:$H$200,"&gt;"&amp;H179)&lt;$U$1,FALSE)</f>
        <v/>
      </c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</row>
    <row r="180">
      <c r="A180" s="9" t="n"/>
      <c r="B180" s="9" t="n"/>
      <c r="C180" s="9" t="n"/>
      <c r="D180" s="10" t="n"/>
      <c r="E180" s="9" t="n"/>
      <c r="F180" s="9" t="n"/>
      <c r="G180" s="15" t="n"/>
      <c r="H180" s="15">
        <f>IF(G180="","",E180-G180)</f>
        <v/>
      </c>
      <c r="I180" s="9">
        <f>IF(AND(F180="available",G180&lt;&gt;""),COUNTIFS($F$2:$F$200,"available",$H$2:$H$200,"&gt;"&amp;H180)&lt;$U$1,FALSE)</f>
        <v/>
      </c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</row>
    <row r="181">
      <c r="A181" s="9" t="n"/>
      <c r="B181" s="9" t="n"/>
      <c r="C181" s="9" t="n"/>
      <c r="D181" s="10" t="n"/>
      <c r="E181" s="9" t="n"/>
      <c r="F181" s="9" t="n"/>
      <c r="G181" s="15" t="n"/>
      <c r="H181" s="15">
        <f>IF(G181="","",E181-G181)</f>
        <v/>
      </c>
      <c r="I181" s="9">
        <f>IF(AND(F181="available",G181&lt;&gt;""),COUNTIFS($F$2:$F$200,"available",$H$2:$H$200,"&gt;"&amp;H181)&lt;$U$1,FALSE)</f>
        <v/>
      </c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</row>
    <row r="182">
      <c r="A182" s="9" t="n"/>
      <c r="B182" s="9" t="n"/>
      <c r="C182" s="9" t="n"/>
      <c r="D182" s="10" t="n"/>
      <c r="E182" s="9" t="n"/>
      <c r="F182" s="9" t="n"/>
      <c r="G182" s="15" t="n"/>
      <c r="H182" s="15">
        <f>IF(G182="","",E182-G182)</f>
        <v/>
      </c>
      <c r="I182" s="9">
        <f>IF(AND(F182="available",G182&lt;&gt;""),COUNTIFS($F$2:$F$200,"available",$H$2:$H$200,"&gt;"&amp;H182)&lt;$U$1,FALSE)</f>
        <v/>
      </c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</row>
    <row r="183">
      <c r="A183" s="9" t="n"/>
      <c r="B183" s="9" t="n"/>
      <c r="C183" s="9" t="n"/>
      <c r="D183" s="10" t="n"/>
      <c r="E183" s="9" t="n"/>
      <c r="F183" s="9" t="n"/>
      <c r="G183" s="15" t="n"/>
      <c r="H183" s="15">
        <f>IF(G183="","",E183-G183)</f>
        <v/>
      </c>
      <c r="I183" s="9">
        <f>IF(AND(F183="available",G183&lt;&gt;""),COUNTIFS($F$2:$F$200,"available",$H$2:$H$200,"&gt;"&amp;H183)&lt;$U$1,FALSE)</f>
        <v/>
      </c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</row>
    <row r="184">
      <c r="A184" s="9" t="n"/>
      <c r="B184" s="9" t="n"/>
      <c r="C184" s="9" t="n"/>
      <c r="D184" s="10" t="n"/>
      <c r="E184" s="9" t="n"/>
      <c r="F184" s="9" t="n"/>
      <c r="G184" s="15" t="n"/>
      <c r="H184" s="15">
        <f>IF(G184="","",E184-G184)</f>
        <v/>
      </c>
      <c r="I184" s="9">
        <f>IF(AND(F184="available",G184&lt;&gt;""),COUNTIFS($F$2:$F$200,"available",$H$2:$H$200,"&gt;"&amp;H184)&lt;$U$1,FALSE)</f>
        <v/>
      </c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</row>
    <row r="185">
      <c r="A185" s="9" t="n"/>
      <c r="B185" s="9" t="n"/>
      <c r="C185" s="9" t="n"/>
      <c r="D185" s="10" t="n"/>
      <c r="E185" s="9" t="n"/>
      <c r="F185" s="9" t="n"/>
      <c r="G185" s="15" t="n"/>
      <c r="H185" s="15">
        <f>IF(G185="","",E185-G185)</f>
        <v/>
      </c>
      <c r="I185" s="9">
        <f>IF(AND(F185="available",G185&lt;&gt;""),COUNTIFS($F$2:$F$200,"available",$H$2:$H$200,"&gt;"&amp;H185)&lt;$U$1,FALSE)</f>
        <v/>
      </c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</row>
    <row r="186">
      <c r="A186" s="9" t="n"/>
      <c r="B186" s="9" t="n"/>
      <c r="C186" s="9" t="n"/>
      <c r="D186" s="10" t="n"/>
      <c r="E186" s="9" t="n"/>
      <c r="F186" s="9" t="n"/>
      <c r="G186" s="15" t="n"/>
      <c r="H186" s="15">
        <f>IF(G186="","",E186-G186)</f>
        <v/>
      </c>
      <c r="I186" s="9">
        <f>IF(AND(F186="available",G186&lt;&gt;""),COUNTIFS($F$2:$F$200,"available",$H$2:$H$200,"&gt;"&amp;H186)&lt;$U$1,FALSE)</f>
        <v/>
      </c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</row>
    <row r="187">
      <c r="A187" s="9" t="n"/>
      <c r="B187" s="9" t="n"/>
      <c r="C187" s="9" t="n"/>
      <c r="D187" s="10" t="n"/>
      <c r="E187" s="9" t="n"/>
      <c r="F187" s="9" t="n"/>
      <c r="G187" s="15" t="n"/>
      <c r="H187" s="15">
        <f>IF(G187="","",E187-G187)</f>
        <v/>
      </c>
      <c r="I187" s="9">
        <f>IF(AND(F187="available",G187&lt;&gt;""),COUNTIFS($F$2:$F$200,"available",$H$2:$H$200,"&gt;"&amp;H187)&lt;$U$1,FALSE)</f>
        <v/>
      </c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</row>
    <row r="188">
      <c r="A188" s="9" t="n"/>
      <c r="B188" s="9" t="n"/>
      <c r="C188" s="9" t="n"/>
      <c r="D188" s="10" t="n"/>
      <c r="E188" s="9" t="n"/>
      <c r="F188" s="9" t="n"/>
      <c r="G188" s="15" t="n"/>
      <c r="H188" s="15">
        <f>IF(G188="","",E188-G188)</f>
        <v/>
      </c>
      <c r="I188" s="9">
        <f>IF(AND(F188="available",G188&lt;&gt;""),COUNTIFS($F$2:$F$200,"available",$H$2:$H$200,"&gt;"&amp;H188)&lt;$U$1,FALSE)</f>
        <v/>
      </c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</row>
    <row r="189">
      <c r="A189" s="9" t="n"/>
      <c r="B189" s="9" t="n"/>
      <c r="C189" s="9" t="n"/>
      <c r="D189" s="10" t="n"/>
      <c r="E189" s="9" t="n"/>
      <c r="F189" s="9" t="n"/>
      <c r="G189" s="15" t="n"/>
      <c r="H189" s="15">
        <f>IF(G189="","",E189-G189)</f>
        <v/>
      </c>
      <c r="I189" s="9">
        <f>IF(AND(F189="available",G189&lt;&gt;""),COUNTIFS($F$2:$F$200,"available",$H$2:$H$200,"&gt;"&amp;H189)&lt;$U$1,FALSE)</f>
        <v/>
      </c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</row>
    <row r="190">
      <c r="A190" s="9" t="n"/>
      <c r="B190" s="9" t="n"/>
      <c r="C190" s="9" t="n"/>
      <c r="D190" s="10" t="n"/>
      <c r="E190" s="9" t="n"/>
      <c r="F190" s="9" t="n"/>
      <c r="G190" s="15" t="n"/>
      <c r="H190" s="15">
        <f>IF(G190="","",E190-G190)</f>
        <v/>
      </c>
      <c r="I190" s="9">
        <f>IF(AND(F190="available",G190&lt;&gt;""),COUNTIFS($F$2:$F$200,"available",$H$2:$H$200,"&gt;"&amp;H190)&lt;$U$1,FALSE)</f>
        <v/>
      </c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</row>
    <row r="191">
      <c r="A191" s="9" t="n"/>
      <c r="B191" s="9" t="n"/>
      <c r="C191" s="9" t="n"/>
      <c r="D191" s="10" t="n"/>
      <c r="E191" s="9" t="n"/>
      <c r="F191" s="9" t="n"/>
      <c r="G191" s="15" t="n"/>
      <c r="H191" s="15">
        <f>IF(G191="","",E191-G191)</f>
        <v/>
      </c>
      <c r="I191" s="9">
        <f>IF(AND(F191="available",G191&lt;&gt;""),COUNTIFS($F$2:$F$200,"available",$H$2:$H$200,"&gt;"&amp;H191)&lt;$U$1,FALSE)</f>
        <v/>
      </c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</row>
    <row r="192">
      <c r="A192" s="9" t="n"/>
      <c r="B192" s="9" t="n"/>
      <c r="C192" s="9" t="n"/>
      <c r="D192" s="10" t="n"/>
      <c r="E192" s="9" t="n"/>
      <c r="F192" s="9" t="n"/>
      <c r="G192" s="15" t="n"/>
      <c r="H192" s="15">
        <f>IF(G192="","",E192-G192)</f>
        <v/>
      </c>
      <c r="I192" s="9">
        <f>IF(AND(F192="available",G192&lt;&gt;""),COUNTIFS($F$2:$F$200,"available",$H$2:$H$200,"&gt;"&amp;H192)&lt;$U$1,FALSE)</f>
        <v/>
      </c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</row>
    <row r="193">
      <c r="A193" s="9" t="n"/>
      <c r="B193" s="9" t="n"/>
      <c r="C193" s="9" t="n"/>
      <c r="D193" s="10" t="n"/>
      <c r="E193" s="9" t="n"/>
      <c r="F193" s="9" t="n"/>
      <c r="G193" s="15" t="n"/>
      <c r="H193" s="15">
        <f>IF(G193="","",E193-G193)</f>
        <v/>
      </c>
      <c r="I193" s="9">
        <f>IF(AND(F193="available",G193&lt;&gt;""),COUNTIFS($F$2:$F$200,"available",$H$2:$H$200,"&gt;"&amp;H193)&lt;$U$1,FALSE)</f>
        <v/>
      </c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</row>
    <row r="194">
      <c r="A194" s="9" t="n"/>
      <c r="B194" s="9" t="n"/>
      <c r="C194" s="9" t="n"/>
      <c r="D194" s="10" t="n"/>
      <c r="E194" s="9" t="n"/>
      <c r="F194" s="9" t="n"/>
      <c r="G194" s="15" t="n"/>
      <c r="H194" s="15">
        <f>IF(G194="","",E194-G194)</f>
        <v/>
      </c>
      <c r="I194" s="9">
        <f>IF(AND(F194="available",G194&lt;&gt;""),COUNTIFS($F$2:$F$200,"available",$H$2:$H$200,"&gt;"&amp;H194)&lt;$U$1,FALSE)</f>
        <v/>
      </c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</row>
    <row r="195">
      <c r="A195" s="9" t="n"/>
      <c r="B195" s="9" t="n"/>
      <c r="C195" s="9" t="n"/>
      <c r="D195" s="10" t="n"/>
      <c r="E195" s="9" t="n"/>
      <c r="F195" s="9" t="n"/>
      <c r="G195" s="15" t="n"/>
      <c r="H195" s="15">
        <f>IF(G195="","",E195-G195)</f>
        <v/>
      </c>
      <c r="I195" s="9">
        <f>IF(AND(F195="available",G195&lt;&gt;""),COUNTIFS($F$2:$F$200,"available",$H$2:$H$200,"&gt;"&amp;H195)&lt;$U$1,FALSE)</f>
        <v/>
      </c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</row>
    <row r="196">
      <c r="A196" s="9" t="n"/>
      <c r="B196" s="9" t="n"/>
      <c r="C196" s="9" t="n"/>
      <c r="D196" s="10" t="n"/>
      <c r="E196" s="9" t="n"/>
      <c r="F196" s="9" t="n"/>
      <c r="G196" s="15" t="n"/>
      <c r="H196" s="15">
        <f>IF(G196="","",E196-G196)</f>
        <v/>
      </c>
      <c r="I196" s="9">
        <f>IF(AND(F196="available",G196&lt;&gt;""),COUNTIFS($F$2:$F$200,"available",$H$2:$H$200,"&gt;"&amp;H196)&lt;$U$1,FALSE)</f>
        <v/>
      </c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</row>
    <row r="197">
      <c r="A197" s="9" t="n"/>
      <c r="B197" s="9" t="n"/>
      <c r="C197" s="9" t="n"/>
      <c r="D197" s="10" t="n"/>
      <c r="E197" s="9" t="n"/>
      <c r="F197" s="9" t="n"/>
      <c r="G197" s="15" t="n"/>
      <c r="H197" s="15">
        <f>IF(G197="","",E197-G197)</f>
        <v/>
      </c>
      <c r="I197" s="9">
        <f>IF(AND(F197="available",G197&lt;&gt;""),COUNTIFS($F$2:$F$200,"available",$H$2:$H$200,"&gt;"&amp;H197)&lt;$U$1,FALSE)</f>
        <v/>
      </c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</row>
    <row r="198">
      <c r="A198" s="9" t="n"/>
      <c r="B198" s="9" t="n"/>
      <c r="C198" s="9" t="n"/>
      <c r="D198" s="10" t="n"/>
      <c r="E198" s="9" t="n"/>
      <c r="F198" s="9" t="n"/>
      <c r="G198" s="15" t="n"/>
      <c r="H198" s="15">
        <f>IF(G198="","",E198-G198)</f>
        <v/>
      </c>
      <c r="I198" s="9">
        <f>IF(AND(F198="available",G198&lt;&gt;""),COUNTIFS($F$2:$F$200,"available",$H$2:$H$200,"&gt;"&amp;H198)&lt;$U$1,FALSE)</f>
        <v/>
      </c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</row>
    <row r="199">
      <c r="A199" s="9" t="n"/>
      <c r="B199" s="9" t="n"/>
      <c r="C199" s="9" t="n"/>
      <c r="D199" s="10" t="n"/>
      <c r="E199" s="9" t="n"/>
      <c r="F199" s="9" t="n"/>
      <c r="G199" s="15" t="n"/>
      <c r="H199" s="15">
        <f>IF(G199="","",E199-G199)</f>
        <v/>
      </c>
      <c r="I199" s="9">
        <f>IF(AND(F199="available",G199&lt;&gt;""),COUNTIFS($F$2:$F$200,"available",$H$2:$H$200,"&gt;"&amp;H199)&lt;$U$1,FALSE)</f>
        <v/>
      </c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</row>
    <row r="200">
      <c r="A200" s="9" t="n"/>
      <c r="B200" s="9" t="n"/>
      <c r="C200" s="9" t="n"/>
      <c r="D200" s="10" t="n"/>
      <c r="E200" s="9" t="n"/>
      <c r="F200" s="9" t="n"/>
      <c r="G200" s="15" t="n"/>
      <c r="H200" s="15">
        <f>IF(G200="","",E200-G200)</f>
        <v/>
      </c>
      <c r="I200" s="9">
        <f>IF(AND(F200="available",G200&lt;&gt;""),COUNTIFS($F$2:$F$200,"available",$H$2:$H$200,"&gt;"&amp;H200)&lt;$U$1,FALSE)</f>
        <v/>
      </c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</row>
  </sheetData>
  <autoFilter ref="A1:R200"/>
  <conditionalFormatting sqref="A2:F200">
    <cfRule type="expression" priority="1" dxfId="0">
      <formula>MOD(ROW(),2)=0</formula>
    </cfRule>
  </conditionalFormatting>
  <conditionalFormatting sqref="I2:R200">
    <cfRule type="expression" priority="2" dxfId="0">
      <formula>MOD(ROW(),2)=0</formula>
    </cfRule>
  </conditionalFormatting>
  <conditionalFormatting sqref="F2:F200">
    <cfRule type="cellIs" priority="3" operator="equal" dxfId="1">
      <formula>"available"</formula>
    </cfRule>
    <cfRule type="cellIs" priority="4" operator="equal" dxfId="2">
      <formula>"reserved"</formula>
    </cfRule>
    <cfRule type="cellIs" priority="5" operator="equal" dxfId="3">
      <formula>"sold"</formula>
    </cfRule>
    <cfRule type="cellIs" priority="6" operator="equal" dxfId="4">
      <formula>"shipped"</formula>
    </cfRule>
  </conditionalFormatting>
  <dataValidations count="1">
    <dataValidation sqref="F2:F200" showDropDown="0" showInputMessage="0" showErrorMessage="1" allowBlank="1" errorTitle="Invalid status" error="Status must be one of: available, reserved, sold, shipped" type="list">
      <formula1>"available,reserved,sold,shipped"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2026-08-04T09:50:51Z</dcterms:created>
  <dcterms:modified xsi:type="dcterms:W3CDTF">2026-08-04T11:43:05Z</dcterms:modified>
</cp:coreProperties>
</file>